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<sst xmlns="http://schemas.openxmlformats.org/spreadsheetml/2006/main" count="165" uniqueCount="141">
  <si>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</si>
  <si>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</si>
  <si>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</si>
  <si>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</si>
  <si>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BUSES</t>
  </si>
  <si>
    <t>COUNTRY OF ORIGIN AT SHELTERS</t>
  </si>
  <si>
    <t>Total New Arrivals to Date</t>
  </si>
  <si>
    <t>Buses Arrived in Last 7 Days at Landing Zone</t>
  </si>
  <si>
    <t>51643*</t>
  </si>
  <si>
    <t>Does not include State operated shelters</t>
  </si>
  <si>
    <t>694 (interpolated)</t>
  </si>
  <si>
    <t>Total Exits from Sheltering System (Individuals)</t>
  </si>
  <si>
    <t>Buses Arrived in Last 7 Days, not at Landing Zone</t>
  </si>
  <si>
    <t>Venezuela</t>
  </si>
  <si>
    <t>39409*</t>
  </si>
  <si>
    <t>4731*</t>
  </si>
  <si>
    <t>INACTIVE DATA SETS</t>
  </si>
  <si>
    <t># OF PEOPLE</t>
  </si>
  <si>
    <t>Total New Arrivals Placed in Shelters by 311 to Date</t>
  </si>
  <si>
    <t>Colombia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</si>
  <si>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</si>
  <si>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</si>
  <si>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60 Day Policy Exits in Last 7 Days</t>
  </si>
  <si>
    <t>USA</t>
  </si>
  <si>
    <t>138*</t>
  </si>
  <si>
    <t>60-Day Policy Exits Returned to Landing Zone in Last 7 Days</t>
  </si>
  <si>
    <t>Ecuador</t>
  </si>
  <si>
    <t>126*</t>
  </si>
  <si>
    <t>135*</t>
  </si>
  <si>
    <t>Landing Zone Arrivals via Texas Contracted Buses in Last 7 Days</t>
  </si>
  <si>
    <t>27*</t>
  </si>
  <si>
    <t>Peru</t>
  </si>
  <si>
    <t>Total Arrivals to Landing Zone in Last 7 Days</t>
  </si>
  <si>
    <t>3681*</t>
  </si>
  <si>
    <t>Haiti</t>
  </si>
  <si>
    <t>Angola</t>
  </si>
  <si>
    <t>Single Men</t>
  </si>
  <si>
    <t>Honduras</t>
  </si>
  <si>
    <t>Single Women</t>
  </si>
  <si>
    <t>Other</t>
  </si>
  <si>
    <t xml:space="preserve">Families (individuals in a family unit) </t>
  </si>
  <si>
    <t>Bolivia</t>
  </si>
  <si>
    <t>New Arrivals Placed in Shelters from Landing Zone in Last 7 Days</t>
  </si>
  <si>
    <t>Brazil</t>
  </si>
  <si>
    <t>Chile</t>
  </si>
  <si>
    <t>Landing Zone Arrivals as Walk-ins in Last 7 Days</t>
  </si>
  <si>
    <t>Cuba</t>
  </si>
  <si>
    <t>New Arrivals Placed in Shelters Last 7 Days</t>
  </si>
  <si>
    <t>Dominican Republic</t>
  </si>
  <si>
    <t>Individuals via non Texas-Contracted Bus</t>
  </si>
  <si>
    <t>El Salvador</t>
  </si>
  <si>
    <t>Indviduals via non Texas-Contracted Bus with Personal Movement Plans</t>
  </si>
  <si>
    <t>Individuals Arrived Via Texas Contracted Buses with Personal Movement Plans</t>
  </si>
  <si>
    <t>Guatemala</t>
  </si>
  <si>
    <t>STAGING AREA</t>
  </si>
  <si>
    <t>Mauritania</t>
  </si>
  <si>
    <t>Mexico</t>
  </si>
  <si>
    <t>Morocco</t>
  </si>
  <si>
    <t>Landing Zone</t>
  </si>
  <si>
    <t>Nicaragua</t>
  </si>
  <si>
    <t>O'Hare Airport</t>
  </si>
  <si>
    <t>Russia</t>
  </si>
  <si>
    <t>Sudan</t>
  </si>
  <si>
    <t>Midway Airport</t>
  </si>
  <si>
    <t>Unknown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</si>
  <si>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</si>
  <si>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</si>
  <si>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</si>
  <si>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</si>
  <si>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</si>
  <si>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</si>
  <si>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</si>
  <si>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</si>
  <si>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</si>
  <si>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</si>
  <si>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</si>
  <si>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</si>
  <si>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</si>
  <si>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</si>
  <si>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</si>
  <si>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</si>
  <si>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</si>
  <si>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</si>
  <si>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</si>
  <si>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</si>
  <si>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</si>
  <si>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</si>
  <si>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</si>
  <si>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</si>
  <si>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</si>
  <si>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</si>
  <si>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</si>
  <si>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</si>
  <si>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</si>
  <si>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</si>
  <si>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</si>
  <si>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</si>
  <si>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</si>
  <si>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</si>
  <si>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</si>
  <si>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</si>
  <si>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</si>
  <si>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</si>
  <si>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</si>
  <si>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</si>
  <si>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Total Shelter Residents</t>
  </si>
  <si>
    <t>Total Awaiting Placement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</si>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</sst>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0" xfId="0" applyAlignment="1" applyFont="1">
      <alignment horizontal="right" readingOrder="0"/>
    </xf>
    <xf borderId="0" fillId="0" fontId="1" numFmtId="167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6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1" numFmtId="0" xfId="0" applyAlignment="1" applyFill="1" applyFont="1">
      <alignment readingOrder="0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20307338"/>
        <c:axId val="320209353"/>
      </c:areaChart>
      <c:catAx>
        <c:axId val="5203073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0209353"/>
      </c:catAx>
      <c:valAx>
        <c:axId val="3202093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03073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04078786"/>
        <c:axId val="1699023101"/>
      </c:barChart>
      <c:catAx>
        <c:axId val="4040787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9023101"/>
      </c:catAx>
      <c:valAx>
        <c:axId val="16990231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407878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75567464"/>
        <c:axId val="510681826"/>
      </c:barChart>
      <c:catAx>
        <c:axId val="17755674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0681826"/>
      </c:catAx>
      <c:valAx>
        <c:axId val="5106818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55674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734994259"/>
        <c:axId val="181353718"/>
      </c:lineChart>
      <c:catAx>
        <c:axId val="17349942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353718"/>
      </c:catAx>
      <c:valAx>
        <c:axId val="181353718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49942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91537755"/>
        <c:axId val="730721452"/>
      </c:lineChart>
      <c:catAx>
        <c:axId val="14915377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0721452"/>
      </c:catAx>
      <c:valAx>
        <c:axId val="7307214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15377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65256683"/>
        <c:axId val="346694490"/>
      </c:barChart>
      <c:catAx>
        <c:axId val="15652566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6694490"/>
      </c:catAx>
      <c:valAx>
        <c:axId val="3466944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52566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3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2" t="s">
        <v>10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4">
        <v>923.0</v>
      </c>
      <c r="C79" s="1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9" t="s">
        <v>20</v>
      </c>
    </row>
    <row r="92">
      <c r="B92" s="20" t="s">
        <v>21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2" t="s">
        <v>33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3" t="s">
        <v>1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1" t="s">
        <v>6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1" t="s">
        <v>8</v>
      </c>
      <c r="CC2" s="11">
        <v>51644.0</v>
      </c>
      <c r="CD2" s="11">
        <v>51649.0</v>
      </c>
      <c r="CE2" s="11">
        <v>51779.0</v>
      </c>
    </row>
    <row r="3">
      <c r="A3" s="1" t="s">
        <v>11</v>
      </c>
      <c r="D3" s="13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1" t="s">
        <v>14</v>
      </c>
      <c r="CC3" s="11" t="s">
        <v>14</v>
      </c>
      <c r="CD3" s="11">
        <v>39745.0</v>
      </c>
      <c r="CE3" s="11">
        <v>40670.0</v>
      </c>
    </row>
    <row r="4">
      <c r="D4" s="13"/>
    </row>
    <row r="5">
      <c r="A5" s="1" t="s">
        <v>16</v>
      </c>
      <c r="D5" s="13"/>
    </row>
    <row r="6">
      <c r="A6" s="1" t="s">
        <v>18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3" t="s">
        <v>1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1" t="s">
        <v>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7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2">
        <v>0.0</v>
      </c>
      <c r="BU3" s="12">
        <v>0.0</v>
      </c>
      <c r="BV3" s="12">
        <v>0.0</v>
      </c>
      <c r="BW3" s="12">
        <v>0.0</v>
      </c>
      <c r="BX3" s="12">
        <v>0.0</v>
      </c>
      <c r="BY3" s="12">
        <v>0.0</v>
      </c>
      <c r="BZ3" s="12">
        <v>0.0</v>
      </c>
      <c r="CA3" s="12">
        <v>0.0</v>
      </c>
      <c r="CB3" s="12">
        <v>0.0</v>
      </c>
      <c r="CC3" s="12">
        <v>0.0</v>
      </c>
      <c r="CD3" s="12">
        <v>0.0</v>
      </c>
      <c r="CE3" s="12">
        <v>0.0</v>
      </c>
    </row>
    <row r="4">
      <c r="A4" s="1" t="s">
        <v>12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22</v>
      </c>
      <c r="C7" s="1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2" t="s">
        <v>24</v>
      </c>
      <c r="CC7" s="12" t="s">
        <v>24</v>
      </c>
      <c r="CD7" s="12">
        <v>166.0</v>
      </c>
      <c r="CE7" s="12">
        <v>267.0</v>
      </c>
    </row>
    <row r="8">
      <c r="A8" s="1" t="s">
        <v>25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2" t="s">
        <v>27</v>
      </c>
      <c r="CC8" s="12" t="s">
        <v>27</v>
      </c>
      <c r="CD8" s="12">
        <v>135.0</v>
      </c>
      <c r="CE8" s="12" t="s">
        <v>28</v>
      </c>
    </row>
    <row r="9">
      <c r="A9" s="1" t="s">
        <v>29</v>
      </c>
      <c r="C9" s="15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32</v>
      </c>
      <c r="C10" s="1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36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38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40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16</v>
      </c>
      <c r="C18" s="22"/>
    </row>
    <row r="19">
      <c r="A19" s="1" t="s">
        <v>45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47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49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52</v>
      </c>
      <c r="C23" s="15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1"/>
      <c r="C2" s="1"/>
      <c r="D2" s="7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</row>
    <row r="3">
      <c r="A3" s="6" t="s">
        <v>9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</row>
    <row r="4">
      <c r="A4" s="1" t="s">
        <v>13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6" t="s">
        <v>15</v>
      </c>
      <c r="BQ4" s="16">
        <v>3528.0</v>
      </c>
      <c r="BR4" s="16">
        <v>3503.0</v>
      </c>
      <c r="BS4" s="16">
        <v>3386.0</v>
      </c>
      <c r="BT4" s="16">
        <v>3241.0</v>
      </c>
      <c r="BU4" s="16">
        <v>3243.0</v>
      </c>
      <c r="BV4" s="16">
        <v>3232.0</v>
      </c>
      <c r="BW4" s="16">
        <v>3002.0</v>
      </c>
      <c r="BX4" s="16">
        <v>2515.0</v>
      </c>
      <c r="BY4" s="16">
        <v>2155.0</v>
      </c>
      <c r="BZ4" s="16">
        <v>1756.0</v>
      </c>
      <c r="CA4" s="16">
        <v>1359.0</v>
      </c>
      <c r="CB4" s="16">
        <v>1102.0</v>
      </c>
      <c r="CC4" s="17">
        <v>1014.0</v>
      </c>
      <c r="CD4" s="18">
        <v>879.0</v>
      </c>
    </row>
    <row r="5">
      <c r="A5" s="1" t="s">
        <v>19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0">
        <v>455.0</v>
      </c>
      <c r="BR5" s="10">
        <v>451.0</v>
      </c>
      <c r="BS5" s="10">
        <v>446.0</v>
      </c>
      <c r="BT5" s="10">
        <v>404.0</v>
      </c>
      <c r="BU5" s="10">
        <v>404.0</v>
      </c>
      <c r="BV5" s="10">
        <v>419.0</v>
      </c>
      <c r="BW5" s="10">
        <v>387.0</v>
      </c>
      <c r="BX5" s="10">
        <v>320.0</v>
      </c>
      <c r="BY5" s="10">
        <v>277.0</v>
      </c>
      <c r="BZ5" s="10">
        <v>230.0</v>
      </c>
      <c r="CA5" s="10">
        <v>191.0</v>
      </c>
      <c r="CB5" s="10">
        <v>151.0</v>
      </c>
      <c r="CC5" s="17">
        <v>144.0</v>
      </c>
      <c r="CD5" s="18">
        <v>135.0</v>
      </c>
    </row>
    <row r="6">
      <c r="A6" s="1" t="s">
        <v>23</v>
      </c>
      <c r="D6" s="1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0"/>
      <c r="BR6" s="10"/>
      <c r="BS6" s="10"/>
      <c r="BT6" s="10"/>
      <c r="BU6" s="10"/>
      <c r="BV6" s="10">
        <v>94.0</v>
      </c>
      <c r="BW6" s="10">
        <v>76.0</v>
      </c>
      <c r="BX6" s="10">
        <v>27.0</v>
      </c>
      <c r="BY6" s="10">
        <v>27.0</v>
      </c>
      <c r="BZ6" s="10">
        <v>19.0</v>
      </c>
      <c r="CA6" s="10">
        <v>17.0</v>
      </c>
      <c r="CB6" s="10">
        <v>16.0</v>
      </c>
      <c r="CC6" s="17">
        <v>17.0</v>
      </c>
      <c r="CD6" s="18">
        <v>48.0</v>
      </c>
    </row>
    <row r="7">
      <c r="A7" s="1" t="s">
        <v>26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30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0">
        <v>222.0</v>
      </c>
      <c r="BR7" s="10">
        <v>221.0</v>
      </c>
      <c r="BS7" s="10">
        <v>217.0</v>
      </c>
      <c r="BT7" s="10">
        <v>201.0</v>
      </c>
      <c r="BU7" s="10">
        <v>196.0</v>
      </c>
      <c r="BV7" s="10">
        <v>191.0</v>
      </c>
      <c r="BW7" s="10">
        <v>167.0</v>
      </c>
      <c r="BX7" s="10">
        <v>147.0</v>
      </c>
      <c r="BY7" s="10">
        <v>116.0</v>
      </c>
      <c r="BZ7" s="10">
        <v>87.0</v>
      </c>
      <c r="CA7" s="10">
        <v>62.0</v>
      </c>
      <c r="CB7" s="10">
        <v>45.0</v>
      </c>
      <c r="CC7" s="17">
        <v>44.0</v>
      </c>
      <c r="CD7" s="18">
        <v>39.0</v>
      </c>
    </row>
    <row r="8">
      <c r="A8" s="1" t="s">
        <v>31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0">
        <v>56.0</v>
      </c>
      <c r="BR8" s="10">
        <v>56.0</v>
      </c>
      <c r="BS8" s="10">
        <v>53.0</v>
      </c>
      <c r="BT8" s="10">
        <v>57.0</v>
      </c>
      <c r="BU8" s="10">
        <v>51.0</v>
      </c>
      <c r="BV8" s="10">
        <v>57.0</v>
      </c>
      <c r="BW8" s="10">
        <v>55.0</v>
      </c>
      <c r="BX8" s="10">
        <v>43.0</v>
      </c>
      <c r="BY8" s="10">
        <v>35.0</v>
      </c>
      <c r="BZ8" s="10">
        <v>30.0</v>
      </c>
      <c r="CA8" s="10">
        <v>25.0</v>
      </c>
      <c r="CB8" s="10">
        <v>22.0</v>
      </c>
      <c r="CC8" s="17">
        <v>22.0</v>
      </c>
      <c r="CD8" s="18">
        <v>20.0</v>
      </c>
    </row>
    <row r="9">
      <c r="A9" s="1" t="s">
        <v>34</v>
      </c>
      <c r="D9" s="13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0">
        <v>66.0</v>
      </c>
      <c r="BR9" s="10">
        <v>63.0</v>
      </c>
      <c r="BS9" s="10">
        <v>62.0</v>
      </c>
      <c r="BT9" s="10">
        <v>61.0</v>
      </c>
      <c r="BU9" s="10">
        <v>61.0</v>
      </c>
      <c r="BV9" s="10">
        <v>58.0</v>
      </c>
      <c r="BW9" s="10">
        <v>58.0</v>
      </c>
      <c r="BX9" s="10">
        <v>54.0</v>
      </c>
      <c r="BY9" s="10">
        <v>50.0</v>
      </c>
      <c r="BZ9" s="10">
        <v>48.0</v>
      </c>
      <c r="CA9" s="10">
        <v>41.0</v>
      </c>
      <c r="CB9" s="10">
        <v>33.0</v>
      </c>
      <c r="CC9" s="17">
        <v>28.0</v>
      </c>
      <c r="CD9" s="18">
        <v>18.0</v>
      </c>
    </row>
    <row r="10">
      <c r="A10" s="1" t="s">
        <v>35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0">
        <v>20.0</v>
      </c>
      <c r="BR10" s="10">
        <v>33.0</v>
      </c>
      <c r="BS10" s="10">
        <v>33.0</v>
      </c>
      <c r="BT10" s="10">
        <v>32.0</v>
      </c>
      <c r="BU10" s="10">
        <v>32.0</v>
      </c>
      <c r="BV10" s="10">
        <v>24.0</v>
      </c>
      <c r="BW10" s="10">
        <v>16.0</v>
      </c>
      <c r="BX10" s="10">
        <v>17.0</v>
      </c>
      <c r="BY10" s="10">
        <v>17.0</v>
      </c>
      <c r="BZ10" s="10">
        <v>17.0</v>
      </c>
      <c r="CA10" s="10">
        <v>17.0</v>
      </c>
      <c r="CB10" s="10">
        <v>14.0</v>
      </c>
      <c r="CC10" s="17">
        <v>14.0</v>
      </c>
      <c r="CD10" s="18">
        <v>14.0</v>
      </c>
    </row>
    <row r="11">
      <c r="A11" s="1" t="s">
        <v>37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0">
        <v>32.0</v>
      </c>
      <c r="BR11" s="10">
        <v>31.0</v>
      </c>
      <c r="BS11" s="10">
        <v>32.0</v>
      </c>
      <c r="BT11" s="10">
        <v>36.0</v>
      </c>
      <c r="BU11" s="10">
        <v>40.0</v>
      </c>
      <c r="BV11" s="10">
        <v>40.0</v>
      </c>
      <c r="BW11" s="10">
        <v>31.0</v>
      </c>
      <c r="BX11" s="10">
        <v>19.0</v>
      </c>
      <c r="BY11" s="10">
        <v>15.0</v>
      </c>
      <c r="BZ11" s="10">
        <v>15.0</v>
      </c>
      <c r="CA11" s="10">
        <v>11.0</v>
      </c>
      <c r="CB11" s="10"/>
      <c r="CC11" s="17">
        <v>11.0</v>
      </c>
      <c r="CD11" s="18">
        <v>11.0</v>
      </c>
    </row>
    <row r="12">
      <c r="A12" s="1" t="s">
        <v>39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0">
        <v>10.0</v>
      </c>
      <c r="BR12" s="10">
        <v>10.0</v>
      </c>
      <c r="BS12" s="10">
        <v>10.0</v>
      </c>
      <c r="BT12" s="10">
        <v>10.0</v>
      </c>
      <c r="BU12" s="10">
        <v>10.0</v>
      </c>
      <c r="BV12" s="10">
        <v>10.0</v>
      </c>
      <c r="BW12" s="10">
        <v>10.0</v>
      </c>
      <c r="BX12" s="10">
        <v>10.0</v>
      </c>
      <c r="BY12" s="10">
        <v>10.0</v>
      </c>
      <c r="BZ12" s="10">
        <v>10.0</v>
      </c>
      <c r="CA12" s="10">
        <v>10.0</v>
      </c>
      <c r="CB12" s="10">
        <v>10.0</v>
      </c>
      <c r="CC12" s="17">
        <v>10.0</v>
      </c>
      <c r="CD12" s="18">
        <v>10.0</v>
      </c>
    </row>
    <row r="13">
      <c r="A13" s="1" t="s">
        <v>41</v>
      </c>
      <c r="D13" s="13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0">
        <v>12.0</v>
      </c>
      <c r="BR13" s="10">
        <v>12.0</v>
      </c>
      <c r="BS13" s="10">
        <v>12.0</v>
      </c>
      <c r="BT13" s="10">
        <v>12.0</v>
      </c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>
      <c r="A14" s="1" t="s">
        <v>43</v>
      </c>
      <c r="D14" s="13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>
      <c r="A15" s="1" t="s">
        <v>44</v>
      </c>
      <c r="D15" s="13"/>
      <c r="S15" s="13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0">
        <v>16.0</v>
      </c>
      <c r="BR15" s="10">
        <v>18.0</v>
      </c>
      <c r="BS15" s="10">
        <v>18.0</v>
      </c>
      <c r="BT15" s="10">
        <v>19.0</v>
      </c>
      <c r="BU15" s="10">
        <v>19.0</v>
      </c>
      <c r="BV15" s="10">
        <v>19.0</v>
      </c>
      <c r="BW15" s="10">
        <v>16.0</v>
      </c>
      <c r="BX15" s="10">
        <v>15.0</v>
      </c>
      <c r="BY15" s="10">
        <v>13.0</v>
      </c>
      <c r="BZ15" s="10">
        <v>11.0</v>
      </c>
      <c r="CA15" s="10"/>
      <c r="CB15" s="10"/>
      <c r="CC15" s="10"/>
      <c r="CD15" s="10"/>
    </row>
    <row r="16">
      <c r="A16" s="1" t="s">
        <v>46</v>
      </c>
      <c r="B16" s="1">
        <v>10.0</v>
      </c>
      <c r="C16" s="1">
        <v>10.0</v>
      </c>
      <c r="D16" s="13"/>
      <c r="S16" s="13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>
      <c r="A17" s="1" t="s">
        <v>48</v>
      </c>
      <c r="B17" s="1">
        <v>10.0</v>
      </c>
      <c r="C17" s="1">
        <v>10.0</v>
      </c>
      <c r="D17" s="13"/>
      <c r="S17" s="13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50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3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>
      <c r="A19" s="1" t="s">
        <v>53</v>
      </c>
      <c r="D19" s="13"/>
      <c r="Q19" s="1">
        <v>10.0</v>
      </c>
      <c r="R19" s="1">
        <v>10.0</v>
      </c>
      <c r="S19" s="1">
        <v>10.0</v>
      </c>
      <c r="T19" s="15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0">
        <v>7.0</v>
      </c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>
      <c r="A20" s="1" t="s">
        <v>55</v>
      </c>
      <c r="D20" s="13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>
      <c r="A21" s="1" t="s">
        <v>56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0">
        <v>38.0</v>
      </c>
      <c r="BR21" s="10">
        <v>36.0</v>
      </c>
      <c r="BS21" s="10">
        <v>36.0</v>
      </c>
      <c r="BT21" s="10">
        <v>26.0</v>
      </c>
      <c r="BU21" s="10">
        <v>31.0</v>
      </c>
      <c r="BV21" s="10">
        <v>20.0</v>
      </c>
      <c r="BW21" s="10">
        <v>20.0</v>
      </c>
      <c r="BX21" s="10">
        <v>11.0</v>
      </c>
      <c r="BY21" s="10"/>
      <c r="BZ21" s="10"/>
      <c r="CA21" s="10">
        <v>10.0</v>
      </c>
      <c r="CB21" s="10"/>
      <c r="CC21" s="10"/>
      <c r="CD21" s="10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0"/>
      <c r="BR22" s="10"/>
      <c r="BS22" s="10"/>
      <c r="BT22" s="10"/>
      <c r="BU22" s="10">
        <v>10.0</v>
      </c>
      <c r="BV22" s="10"/>
      <c r="BW22" s="10"/>
      <c r="BX22" s="10"/>
      <c r="BY22" s="10"/>
      <c r="BZ22" s="10"/>
      <c r="CA22" s="10"/>
      <c r="CB22" s="10"/>
      <c r="CC22" s="10"/>
      <c r="CD22" s="10"/>
    </row>
    <row r="23">
      <c r="A23" s="1" t="s">
        <v>59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0">
        <v>21.0</v>
      </c>
      <c r="BR23" s="10">
        <v>26.0</v>
      </c>
      <c r="BS23" s="10">
        <v>27.0</v>
      </c>
      <c r="BT23" s="10">
        <v>25.0</v>
      </c>
      <c r="BU23" s="10">
        <v>21.0</v>
      </c>
      <c r="BV23" s="10">
        <v>13.0</v>
      </c>
      <c r="BW23" s="10">
        <v>14.0</v>
      </c>
      <c r="BX23" s="10">
        <v>13.0</v>
      </c>
      <c r="BY23" s="10">
        <v>10.0</v>
      </c>
      <c r="BZ23" s="10"/>
      <c r="CA23" s="10"/>
      <c r="CB23" s="10"/>
      <c r="CC23" s="10"/>
      <c r="CD23" s="10"/>
    </row>
    <row r="24">
      <c r="A24" s="1" t="s">
        <v>61</v>
      </c>
      <c r="B24" s="1">
        <v>11.0</v>
      </c>
      <c r="C24" s="1">
        <v>11.0</v>
      </c>
      <c r="D24" s="13"/>
      <c r="E24" s="13"/>
      <c r="F24" s="13"/>
      <c r="T24" s="29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62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30"/>
      <c r="AJ25" s="30"/>
      <c r="AK25" s="30"/>
      <c r="AL25" s="30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64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3"/>
      <c r="F27" s="13"/>
      <c r="J27" s="13"/>
      <c r="T27" s="33"/>
      <c r="U27" s="23"/>
      <c r="V27" s="26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3"/>
      <c r="E28" s="13"/>
      <c r="F28" s="13"/>
      <c r="J28" s="13"/>
      <c r="T28" s="33"/>
      <c r="U28" s="23"/>
      <c r="V28" s="26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3"/>
      <c r="F29" s="13"/>
      <c r="J29" s="13"/>
      <c r="T29" s="33"/>
      <c r="U29" s="23"/>
      <c r="V29" s="26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3"/>
      <c r="F30" s="13"/>
      <c r="J30" s="13"/>
      <c r="T30" s="13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3"/>
      <c r="F31" s="13"/>
      <c r="J31" s="13"/>
      <c r="T31" s="13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3"/>
      <c r="F32" s="13"/>
      <c r="J32" s="13"/>
      <c r="T32" s="13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3"/>
      <c r="F33" s="13"/>
      <c r="J33" s="13"/>
      <c r="T33" s="13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3"/>
      <c r="F34" s="13"/>
      <c r="J34" s="13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3"/>
      <c r="F35" s="13"/>
      <c r="J35" s="13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3"/>
      <c r="F36" s="13"/>
      <c r="J36" s="13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3"/>
      <c r="F37" s="13"/>
      <c r="J37" s="13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3"/>
      <c r="J38" s="13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3"/>
      <c r="J39" s="13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3"/>
      <c r="J40" s="13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3"/>
      <c r="J41" s="13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3"/>
      <c r="J42" s="13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3"/>
      <c r="J43" s="13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3"/>
      <c r="J44" s="13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3"/>
      <c r="J45" s="13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3"/>
      <c r="J46" s="13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3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3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3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3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3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3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3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3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3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3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3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54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7">
        <v>45338.0</v>
      </c>
      <c r="AM1" s="27">
        <v>45345.0</v>
      </c>
      <c r="AN1" s="27">
        <v>45352.0</v>
      </c>
      <c r="AO1" s="27">
        <v>45359.0</v>
      </c>
      <c r="AP1" s="27">
        <v>45366.0</v>
      </c>
      <c r="AQ1" s="27">
        <v>45373.0</v>
      </c>
      <c r="AR1" s="27">
        <v>45380.0</v>
      </c>
      <c r="AS1" s="27">
        <v>45387.0</v>
      </c>
      <c r="AT1" s="27">
        <v>45394.0</v>
      </c>
      <c r="AU1" s="27">
        <v>45401.0</v>
      </c>
      <c r="AV1" s="27">
        <v>45408.0</v>
      </c>
      <c r="AW1" s="27">
        <v>45415.0</v>
      </c>
      <c r="AX1" s="27">
        <v>45422.0</v>
      </c>
      <c r="AY1" s="27">
        <v>45429.0</v>
      </c>
      <c r="AZ1" s="27">
        <v>45436.0</v>
      </c>
      <c r="BA1" s="27">
        <v>45443.0</v>
      </c>
      <c r="BB1" s="27">
        <v>45450.0</v>
      </c>
      <c r="BC1" s="27">
        <v>45457.0</v>
      </c>
      <c r="BD1" s="27">
        <v>45464.0</v>
      </c>
      <c r="BE1" s="27">
        <v>45471.0</v>
      </c>
      <c r="BF1" s="27">
        <v>45478.0</v>
      </c>
      <c r="BG1" s="27">
        <v>45485.0</v>
      </c>
      <c r="BH1" s="27">
        <v>45492.0</v>
      </c>
      <c r="BI1" s="27">
        <v>45499.0</v>
      </c>
      <c r="BJ1" s="27">
        <v>45506.0</v>
      </c>
      <c r="BK1" s="27">
        <v>45513.0</v>
      </c>
      <c r="BL1" s="27">
        <v>45520.0</v>
      </c>
      <c r="BM1" s="27">
        <v>45527.0</v>
      </c>
      <c r="BN1" s="27">
        <v>45534.0</v>
      </c>
      <c r="BO1" s="27">
        <v>45541.0</v>
      </c>
      <c r="BP1" s="27">
        <v>45548.0</v>
      </c>
      <c r="BQ1" s="27">
        <v>45555.0</v>
      </c>
      <c r="BR1" s="27">
        <v>45562.0</v>
      </c>
      <c r="BS1" s="27">
        <v>45569.0</v>
      </c>
      <c r="BT1" s="27">
        <v>45576.0</v>
      </c>
      <c r="BU1" s="27">
        <v>45583.0</v>
      </c>
      <c r="BV1" s="27">
        <v>45590.0</v>
      </c>
      <c r="BW1" s="27">
        <v>45597.0</v>
      </c>
      <c r="BX1" s="27">
        <v>45604.0</v>
      </c>
      <c r="BY1" s="27">
        <v>45611.0</v>
      </c>
      <c r="BZ1" s="27">
        <v>45618.0</v>
      </c>
      <c r="CA1" s="27">
        <v>45625.0</v>
      </c>
      <c r="CB1" s="27">
        <v>45632.0</v>
      </c>
      <c r="CC1" s="27">
        <v>45639.0</v>
      </c>
      <c r="CD1" s="27">
        <v>45646.0</v>
      </c>
      <c r="CE1" s="27">
        <v>45660.0</v>
      </c>
    </row>
    <row r="2">
      <c r="A2" s="1" t="s">
        <v>58</v>
      </c>
      <c r="B2" s="13"/>
      <c r="F2" s="13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1" t="s">
        <v>60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1" t="s">
        <v>63</v>
      </c>
      <c r="B4" s="22"/>
      <c r="F4" s="13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1">
        <v>0.0</v>
      </c>
      <c r="AJ4" s="1">
        <v>0.0</v>
      </c>
      <c r="AK4" s="1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1" t="s">
        <v>65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1" t="s">
        <v>66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1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7">
        <v>45387.0</v>
      </c>
      <c r="AT9" s="27">
        <v>45394.0</v>
      </c>
      <c r="AU9" s="27">
        <v>45401.0</v>
      </c>
      <c r="AV9" s="27">
        <v>45408.0</v>
      </c>
      <c r="AW9" s="27">
        <v>45415.0</v>
      </c>
      <c r="AX9" s="27">
        <v>45422.0</v>
      </c>
      <c r="AY9" s="27">
        <v>45429.0</v>
      </c>
      <c r="AZ9" s="27">
        <v>45436.0</v>
      </c>
      <c r="BA9" s="27">
        <v>45443.0</v>
      </c>
      <c r="BB9" s="27">
        <v>45450.0</v>
      </c>
      <c r="BC9" s="27">
        <v>45457.0</v>
      </c>
      <c r="BD9" s="27">
        <v>45464.0</v>
      </c>
      <c r="BE9" s="27">
        <v>45471.0</v>
      </c>
      <c r="BF9" s="27">
        <v>45478.0</v>
      </c>
      <c r="BG9" s="27">
        <v>45485.0</v>
      </c>
      <c r="BH9" s="27">
        <v>45492.0</v>
      </c>
      <c r="BI9" s="27">
        <v>45499.0</v>
      </c>
      <c r="BJ9" s="27">
        <v>45506.0</v>
      </c>
      <c r="BK9" s="27">
        <v>45513.0</v>
      </c>
      <c r="BL9" s="27">
        <v>45520.0</v>
      </c>
      <c r="BM9" s="27">
        <v>45527.0</v>
      </c>
      <c r="BN9" s="27">
        <v>45534.0</v>
      </c>
      <c r="BO9" s="27">
        <v>45541.0</v>
      </c>
      <c r="BP9" s="27">
        <v>45548.0</v>
      </c>
      <c r="BQ9" s="27">
        <v>45555.0</v>
      </c>
      <c r="BR9" s="27">
        <v>45562.0</v>
      </c>
      <c r="BS9" s="27">
        <v>45569.0</v>
      </c>
      <c r="BT9" s="27">
        <v>45576.0</v>
      </c>
      <c r="BU9" s="27">
        <v>45583.0</v>
      </c>
      <c r="BV9" s="27">
        <v>45590.0</v>
      </c>
      <c r="BW9" s="27">
        <v>45597.0</v>
      </c>
      <c r="BX9" s="27">
        <v>45604.0</v>
      </c>
      <c r="BY9" s="27">
        <v>45611.0</v>
      </c>
      <c r="BZ9" s="27">
        <v>45618.0</v>
      </c>
      <c r="CA9" s="27">
        <v>45625.0</v>
      </c>
      <c r="CB9" s="27">
        <v>45632.0</v>
      </c>
      <c r="CC9" s="27">
        <v>45639.0</v>
      </c>
      <c r="CD9" s="27">
        <v>45646.0</v>
      </c>
      <c r="CE9" s="27">
        <v>45660.0</v>
      </c>
    </row>
    <row r="10">
      <c r="A10" s="1" t="s">
        <v>69</v>
      </c>
      <c r="B10" s="22"/>
      <c r="F10" s="13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3"/>
      <c r="J11" s="22"/>
      <c r="O11" s="15"/>
      <c r="AG11" s="1"/>
      <c r="AH11" s="1"/>
      <c r="AI11" s="1"/>
      <c r="AJ11" s="1"/>
      <c r="AK11" s="1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1" t="s">
        <v>71</v>
      </c>
      <c r="B12" s="36"/>
      <c r="F12" s="13"/>
      <c r="J12" s="22"/>
      <c r="O12" s="15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13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13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13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13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13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10">
        <v>1090.0</v>
      </c>
      <c r="AU26" s="10">
        <v>1028.0</v>
      </c>
      <c r="AV26" s="10">
        <v>974.0</v>
      </c>
      <c r="AW26" s="10">
        <v>949.0</v>
      </c>
      <c r="AX26" s="10">
        <v>891.0</v>
      </c>
      <c r="AY26" s="10">
        <v>869.0</v>
      </c>
      <c r="AZ26" s="10">
        <v>827.0</v>
      </c>
      <c r="BA26" s="10">
        <v>788.0</v>
      </c>
      <c r="BB26" s="10">
        <v>748.0</v>
      </c>
      <c r="BC26" s="10">
        <v>808.0</v>
      </c>
      <c r="BD26" s="10">
        <v>706.0</v>
      </c>
      <c r="BE26" s="10">
        <v>691.0</v>
      </c>
      <c r="BF26" s="10">
        <v>717.0</v>
      </c>
      <c r="BG26" s="10">
        <v>774.0</v>
      </c>
      <c r="BH26" s="10">
        <v>759.0</v>
      </c>
      <c r="BI26" s="10">
        <v>757.0</v>
      </c>
      <c r="BJ26" s="10">
        <v>745.0</v>
      </c>
      <c r="BK26" s="10">
        <v>752.0</v>
      </c>
      <c r="BL26" s="10">
        <v>720.0</v>
      </c>
      <c r="BM26" s="10">
        <v>705.0</v>
      </c>
      <c r="BN26" s="10">
        <v>731.0</v>
      </c>
      <c r="BO26" s="10">
        <v>739.0</v>
      </c>
      <c r="BP26" s="10">
        <v>792.0</v>
      </c>
      <c r="BQ26" s="10">
        <v>834.0</v>
      </c>
      <c r="BR26" s="10">
        <v>868.0</v>
      </c>
      <c r="BS26" s="10">
        <v>924.0</v>
      </c>
      <c r="BT26" s="10">
        <v>933.0</v>
      </c>
      <c r="BU26" s="10">
        <v>915.0</v>
      </c>
      <c r="BV26" s="10">
        <v>904.0</v>
      </c>
      <c r="BW26" s="10">
        <v>835.0</v>
      </c>
      <c r="BX26" s="10">
        <v>400.0</v>
      </c>
      <c r="BY26" s="10"/>
      <c r="BZ26" s="10"/>
      <c r="CA26" s="10"/>
      <c r="CB26" s="10"/>
      <c r="CC26" s="10"/>
      <c r="CD26" s="10"/>
      <c r="CE26" s="10"/>
    </row>
    <row r="27">
      <c r="A27" s="1" t="s">
        <v>85</v>
      </c>
      <c r="B27" s="22"/>
      <c r="F27" s="13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1" t="s">
        <v>87</v>
      </c>
      <c r="B29" s="36"/>
      <c r="F29" s="13"/>
      <c r="J29" s="22"/>
      <c r="O29" s="15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1" t="s">
        <v>89</v>
      </c>
      <c r="B31" s="36"/>
      <c r="F31" s="13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1" t="s">
        <v>92</v>
      </c>
      <c r="B34" s="22"/>
      <c r="J34" s="22"/>
      <c r="O34" s="15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1" t="s">
        <v>93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1" t="s">
        <v>94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1" t="s">
        <v>96</v>
      </c>
      <c r="B38" s="22">
        <v>92.0</v>
      </c>
      <c r="C38" s="22">
        <v>90.0</v>
      </c>
      <c r="J38" s="22"/>
      <c r="O38" s="15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39" t="s">
        <v>99</v>
      </c>
      <c r="BZ40" s="28">
        <v>54.0</v>
      </c>
      <c r="CA40" s="28"/>
      <c r="CB40" s="28"/>
      <c r="CC40" s="28"/>
      <c r="CD40" s="28"/>
      <c r="CE40" s="28"/>
    </row>
    <row r="41">
      <c r="A41" s="1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1" t="s">
        <v>101</v>
      </c>
      <c r="B42" s="22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1" t="s">
        <v>102</v>
      </c>
      <c r="B43" s="22"/>
      <c r="O43" s="15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5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5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5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5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5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5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5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5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5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5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5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5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5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5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5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5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5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5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5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5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5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105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9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106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29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25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44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19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26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50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34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56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3"/>
      <c r="F23" s="13"/>
      <c r="I23" s="13"/>
      <c r="L23" s="26"/>
      <c r="M23" s="15"/>
      <c r="P23" s="13"/>
      <c r="Q23" s="15"/>
      <c r="R23" s="23"/>
      <c r="S23" s="26"/>
      <c r="Y23" s="15"/>
      <c r="Z23" s="44"/>
      <c r="AA23" s="26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3"/>
      <c r="F24" s="13"/>
      <c r="I24" s="13"/>
      <c r="L24" s="26"/>
      <c r="M24" s="15"/>
      <c r="P24" s="13"/>
      <c r="Q24" s="15"/>
      <c r="R24" s="23"/>
      <c r="S24" s="26"/>
      <c r="Y24" s="15"/>
      <c r="Z24" s="44"/>
      <c r="AA24" s="26"/>
    </row>
    <row r="25">
      <c r="B25" s="26"/>
      <c r="E25" s="13"/>
      <c r="F25" s="13"/>
      <c r="G25" s="26"/>
      <c r="H25" s="15"/>
      <c r="I25" s="13"/>
      <c r="L25" s="26"/>
      <c r="M25" s="15"/>
      <c r="P25" s="13"/>
      <c r="Q25" s="15"/>
      <c r="R25" s="23"/>
      <c r="S25" s="26"/>
      <c r="Y25" s="15"/>
      <c r="Z25" s="44"/>
      <c r="AA25" s="26"/>
      <c r="AB25" s="15"/>
      <c r="AC25" s="23"/>
      <c r="AD25" s="26"/>
      <c r="AE25" s="15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13"/>
      <c r="E26" s="13"/>
      <c r="F26" s="13"/>
      <c r="G26" s="26"/>
      <c r="H26" s="15"/>
      <c r="I26" s="13"/>
      <c r="L26" s="26"/>
      <c r="M26" s="15"/>
      <c r="N26" s="26"/>
      <c r="O26" s="15"/>
      <c r="P26" s="13"/>
      <c r="Q26" s="15"/>
      <c r="R26" s="23"/>
      <c r="S26" s="26"/>
      <c r="AB26" s="44"/>
      <c r="AC26" s="26"/>
      <c r="AD26" s="45"/>
      <c r="AE26" s="15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13"/>
      <c r="F27" s="13"/>
      <c r="G27" s="26"/>
      <c r="H27" s="15"/>
      <c r="I27" s="13"/>
      <c r="L27" s="26"/>
      <c r="M27" s="15"/>
      <c r="N27" s="26"/>
      <c r="O27" s="15"/>
      <c r="P27" s="13"/>
      <c r="Q27" s="15"/>
      <c r="R27" s="44"/>
      <c r="S27" s="26"/>
      <c r="X27" s="13"/>
      <c r="AA27" s="13"/>
      <c r="AB27" s="44"/>
      <c r="AC27" s="23"/>
      <c r="AD27" s="23"/>
    </row>
    <row r="28">
      <c r="B28" s="26"/>
      <c r="E28" s="13"/>
      <c r="F28" s="13"/>
      <c r="G28" s="26"/>
      <c r="H28" s="15"/>
      <c r="L28" s="26"/>
      <c r="M28" s="15"/>
      <c r="N28" s="26"/>
      <c r="O28" s="15"/>
      <c r="P28" s="13"/>
      <c r="Q28" s="15"/>
      <c r="R28" s="44"/>
      <c r="S28" s="26"/>
      <c r="X28" s="13"/>
      <c r="AA28" s="13"/>
      <c r="AB28" s="15"/>
      <c r="AC28" s="23"/>
      <c r="AD28" s="23"/>
    </row>
    <row r="29">
      <c r="B29" s="13"/>
      <c r="C29" s="22"/>
      <c r="E29" s="13"/>
      <c r="F29" s="13"/>
      <c r="G29" s="26"/>
      <c r="H29" s="15"/>
      <c r="L29" s="26"/>
      <c r="M29" s="15"/>
      <c r="N29" s="26"/>
      <c r="O29" s="15"/>
      <c r="P29" s="13"/>
      <c r="Q29" s="15"/>
      <c r="R29" s="44"/>
      <c r="S29" s="26"/>
      <c r="X29" s="13"/>
      <c r="AA29" s="13"/>
      <c r="AC29" s="26"/>
      <c r="AD29" s="15"/>
    </row>
    <row r="30">
      <c r="B30" s="13"/>
      <c r="C30" s="22"/>
      <c r="E30" s="13"/>
      <c r="F30" s="13"/>
      <c r="G30" s="26"/>
      <c r="H30" s="15"/>
      <c r="N30" s="26"/>
      <c r="O30" s="15"/>
      <c r="P30" s="13"/>
      <c r="X30" s="13"/>
      <c r="AA30" s="13"/>
      <c r="AC30" s="26"/>
      <c r="AD30" s="15"/>
    </row>
    <row r="31">
      <c r="B31" s="13"/>
      <c r="C31" s="22"/>
      <c r="E31" s="13"/>
      <c r="F31" s="13"/>
      <c r="G31" s="26"/>
      <c r="H31" s="15"/>
      <c r="N31" s="26"/>
      <c r="O31" s="15"/>
      <c r="P31" s="13"/>
      <c r="X31" s="13"/>
      <c r="AA31" s="13"/>
      <c r="AC31" s="23"/>
      <c r="AD31" s="44"/>
    </row>
    <row r="32">
      <c r="B32" s="13"/>
      <c r="C32" s="22"/>
      <c r="E32" s="13"/>
      <c r="F32" s="13"/>
      <c r="G32" s="26"/>
      <c r="H32" s="15"/>
      <c r="N32" s="26"/>
      <c r="O32" s="15"/>
      <c r="P32" s="13"/>
      <c r="X32" s="13"/>
      <c r="AA32" s="13"/>
      <c r="AC32" s="26"/>
      <c r="AD32" s="15"/>
    </row>
    <row r="33">
      <c r="B33" s="13"/>
      <c r="C33" s="22"/>
      <c r="E33" s="13"/>
      <c r="F33" s="13"/>
      <c r="G33" s="26"/>
      <c r="H33" s="15"/>
      <c r="N33" s="26"/>
      <c r="O33" s="15"/>
      <c r="X33" s="13"/>
      <c r="AA33" s="13"/>
      <c r="AC33" s="26"/>
      <c r="AD33" s="15"/>
    </row>
    <row r="34">
      <c r="E34" s="13"/>
      <c r="F34" s="13"/>
      <c r="G34" s="26"/>
      <c r="H34" s="15"/>
      <c r="N34" s="26"/>
      <c r="O34" s="15"/>
      <c r="X34" s="13"/>
      <c r="AA34" s="13"/>
      <c r="AC34" s="26"/>
      <c r="AD34" s="15"/>
    </row>
    <row r="35">
      <c r="B35" s="13"/>
      <c r="C35" s="22"/>
      <c r="E35" s="13"/>
      <c r="F35" s="13"/>
      <c r="G35" s="26"/>
      <c r="H35" s="15"/>
      <c r="N35" s="26"/>
      <c r="O35" s="15"/>
      <c r="X35" s="13"/>
      <c r="AA35" s="13"/>
      <c r="AC35" s="26"/>
      <c r="AD35" s="15"/>
    </row>
    <row r="36">
      <c r="B36" s="13"/>
      <c r="C36" s="22"/>
      <c r="E36" s="13"/>
      <c r="F36" s="13"/>
      <c r="G36" s="26"/>
      <c r="H36" s="15"/>
      <c r="N36" s="26"/>
      <c r="O36" s="15"/>
      <c r="X36" s="13"/>
      <c r="AA36" s="13"/>
      <c r="AC36" s="26"/>
      <c r="AD36" s="15"/>
    </row>
    <row r="37">
      <c r="B37" s="13"/>
      <c r="C37" s="22"/>
      <c r="E37" s="13"/>
      <c r="F37" s="13"/>
      <c r="G37" s="26"/>
      <c r="H37" s="15"/>
      <c r="N37" s="26"/>
      <c r="O37" s="15"/>
      <c r="X37" s="13"/>
      <c r="AA37" s="13"/>
    </row>
    <row r="38">
      <c r="B38" s="13"/>
      <c r="C38" s="22"/>
      <c r="E38" s="13"/>
      <c r="F38" s="13"/>
      <c r="G38" s="26"/>
      <c r="H38" s="15"/>
      <c r="N38" s="26"/>
      <c r="O38" s="15"/>
      <c r="X38" s="13"/>
      <c r="AA38" s="13"/>
    </row>
    <row r="39">
      <c r="B39" s="13"/>
      <c r="C39" s="22"/>
      <c r="E39" s="13"/>
      <c r="F39" s="13"/>
      <c r="G39" s="26"/>
      <c r="H39" s="15"/>
      <c r="N39" s="26"/>
      <c r="O39" s="15"/>
      <c r="X39" s="13"/>
      <c r="AA39" s="13"/>
    </row>
    <row r="40">
      <c r="B40" s="13"/>
      <c r="C40" s="22"/>
      <c r="E40" s="13"/>
      <c r="F40" s="13"/>
      <c r="G40" s="26"/>
      <c r="H40" s="15"/>
      <c r="X40" s="13"/>
      <c r="AA40" s="13"/>
    </row>
    <row r="41">
      <c r="B41" s="13"/>
      <c r="C41" s="22"/>
      <c r="E41" s="13"/>
      <c r="G41" s="26"/>
      <c r="H41" s="15"/>
      <c r="X41" s="13"/>
      <c r="AA41" s="13"/>
    </row>
    <row r="42">
      <c r="B42" s="13"/>
      <c r="E42" s="13"/>
      <c r="G42" s="26"/>
      <c r="H42" s="15"/>
      <c r="X42" s="13"/>
      <c r="AA42" s="13"/>
    </row>
    <row r="43">
      <c r="B43" s="13"/>
      <c r="E43" s="13"/>
      <c r="G43" s="26"/>
      <c r="H43" s="15"/>
      <c r="X43" s="13"/>
      <c r="AA43" s="13"/>
    </row>
    <row r="44">
      <c r="B44" s="13"/>
      <c r="E44" s="13"/>
      <c r="G44" s="26"/>
      <c r="H44" s="15"/>
      <c r="X44" s="13"/>
      <c r="AA44" s="13"/>
    </row>
    <row r="45">
      <c r="B45" s="13"/>
      <c r="E45" s="13"/>
      <c r="G45" s="26"/>
      <c r="H45" s="15"/>
      <c r="X45" s="13"/>
      <c r="AA45" s="13"/>
    </row>
    <row r="46">
      <c r="B46" s="13"/>
      <c r="E46" s="13"/>
      <c r="G46" s="26"/>
      <c r="H46" s="15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