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<sst xmlns="http://schemas.openxmlformats.org/spreadsheetml/2006/main" count="165" uniqueCount="141">
  <si>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</si>
  <si>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</si>
  <si>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</si>
  <si>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</si>
  <si>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</si>
  <si>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COUNTRY OF ORIGIN AT SHELTERS</t>
  </si>
  <si>
    <t>BUSES</t>
  </si>
  <si>
    <t>51643*</t>
  </si>
  <si>
    <t>Total Exits from Sheltering System (Individuals)</t>
  </si>
  <si>
    <t>Does not include State operated shelters</t>
  </si>
  <si>
    <t>694 (interpolated)</t>
  </si>
  <si>
    <t>Buses Arrived in Last 7 Days at Landing Zone</t>
  </si>
  <si>
    <t>39409*</t>
  </si>
  <si>
    <t>INACTIVE DATA SETS</t>
  </si>
  <si>
    <t>Total New Arrivals Placed in Shelters by 311 to Date</t>
  </si>
  <si>
    <t>Venezuela</t>
  </si>
  <si>
    <t>Buses Arrived in Last 7 Days, not at Landing Zone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</si>
  <si>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</si>
  <si>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</si>
  <si>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</si>
  <si>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Colombia</t>
  </si>
  <si>
    <t>USA</t>
  </si>
  <si>
    <t>3681*</t>
  </si>
  <si>
    <t># OF PEOPLE</t>
  </si>
  <si>
    <t>Ecuador</t>
  </si>
  <si>
    <t>60 Day Policy Exits in Last 7 Days</t>
  </si>
  <si>
    <t>27*</t>
  </si>
  <si>
    <t>Peru</t>
  </si>
  <si>
    <t>138*</t>
  </si>
  <si>
    <t>60-Day Policy Exits Returned to Landing Zone in Last 7 Days</t>
  </si>
  <si>
    <t>STAGING AREA</t>
  </si>
  <si>
    <t>Haiti</t>
  </si>
  <si>
    <t>126*</t>
  </si>
  <si>
    <t>135*</t>
  </si>
  <si>
    <t>Landing Zone Arrivals via Texas Contracted Buses in Last 7 Days</t>
  </si>
  <si>
    <t>Angola</t>
  </si>
  <si>
    <t>Landing Zone</t>
  </si>
  <si>
    <t>Total Arrivals to Landing Zone in Last 7 Days</t>
  </si>
  <si>
    <t>Honduras</t>
  </si>
  <si>
    <t>O'Hare Airport</t>
  </si>
  <si>
    <t>Other</t>
  </si>
  <si>
    <t>Single Men</t>
  </si>
  <si>
    <t>Midway Airport</t>
  </si>
  <si>
    <t>Bolivia</t>
  </si>
  <si>
    <t>Brazil</t>
  </si>
  <si>
    <t>Single Women</t>
  </si>
  <si>
    <t>Police Districts (All)</t>
  </si>
  <si>
    <t>Chile</t>
  </si>
  <si>
    <t>Cuba</t>
  </si>
  <si>
    <t xml:space="preserve">Families (individuals in a family unit) </t>
  </si>
  <si>
    <t>STAGING AREA TOTAL</t>
  </si>
  <si>
    <t>Dominican Republic</t>
  </si>
  <si>
    <t>El Salvador</t>
  </si>
  <si>
    <t>New Arrivals Placed in Shelters from Landing Zone in Last 7 Days</t>
  </si>
  <si>
    <t>Guatemala</t>
  </si>
  <si>
    <t>Mauritania</t>
  </si>
  <si>
    <t>Minors Currently in Staging Area</t>
  </si>
  <si>
    <t>Landing Zone Arrivals as Walk-ins in Last 7 Days</t>
  </si>
  <si>
    <t>Mexico</t>
  </si>
  <si>
    <t>New Arrivals Placed in Shelters Last 7 Days</t>
  </si>
  <si>
    <t>Morocco</t>
  </si>
  <si>
    <t>Individuals via non Texas-Contracted Bus</t>
  </si>
  <si>
    <t>Nicaragua</t>
  </si>
  <si>
    <t>Indviduals via non Texas-Contracted Bus with Personal Movement Plans</t>
  </si>
  <si>
    <t>SHELTER</t>
  </si>
  <si>
    <t>Russia</t>
  </si>
  <si>
    <t>Individuals Arrived Via Texas Contracted Buses with Personal Movement Plans</t>
  </si>
  <si>
    <t>Sudan</t>
  </si>
  <si>
    <t>Unknown</t>
  </si>
  <si>
    <t>American Islamic College</t>
  </si>
  <si>
    <t>Midway Shelter</t>
  </si>
  <si>
    <t>Total Shelter Residents</t>
  </si>
  <si>
    <t>MWRD</t>
  </si>
  <si>
    <t>Total Awaiting Placement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</si>
  <si>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</si>
  <si>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</si>
  <si>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</si>
  <si>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</si>
  <si>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</si>
  <si>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</si>
  <si>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</si>
  <si>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</si>
  <si>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</si>
  <si>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</si>
  <si>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</si>
  <si>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</si>
  <si>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</si>
  <si>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</si>
  <si>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</si>
  <si>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</si>
  <si>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</si>
  <si>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</si>
  <si>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</si>
  <si>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</si>
  <si>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</si>
  <si>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</si>
  <si>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INACTIVE DATA SET</t>
  </si>
  <si>
    <t>Parthenon</t>
  </si>
  <si>
    <t>311 SHELTER REQUESTS</t>
  </si>
  <si>
    <t>Piotrowski Park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</si>
  <si>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</si>
  <si>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</si>
  <si>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</si>
  <si>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</si>
  <si>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</si>
  <si>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</si>
  <si>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</si>
  <si>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</si>
  <si>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Shield of Hope</t>
  </si>
  <si>
    <t>Social Club</t>
  </si>
  <si>
    <t>Super 8 Motel</t>
  </si>
  <si>
    <t>Ghana</t>
  </si>
  <si>
    <t>18* potential data error</t>
  </si>
  <si>
    <t>Wadsworth</t>
  </si>
  <si>
    <t xml:space="preserve">Honduras </t>
  </si>
  <si>
    <t>Walnut</t>
  </si>
  <si>
    <t xml:space="preserve">Nicaragua </t>
  </si>
  <si>
    <t xml:space="preserve">Other </t>
  </si>
  <si>
    <t>Panama</t>
  </si>
  <si>
    <t>West Lake</t>
  </si>
  <si>
    <t>Puerto Rico</t>
  </si>
  <si>
    <t xml:space="preserve">Peru </t>
  </si>
  <si>
    <t>Wright</t>
  </si>
  <si>
    <t>Poland</t>
  </si>
  <si>
    <t xml:space="preserve">Russia </t>
  </si>
  <si>
    <t xml:space="preserve">Unknown </t>
  </si>
  <si>
    <t>SHELTER TOTAL</t>
  </si>
  <si>
    <t xml:space="preserve">Venezuela </t>
  </si>
  <si>
    <t>NOTE : dataset given to committee was incomplete.</t>
  </si>
  <si>
    <t>Minors Currently in Shelters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</si>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</sst>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106987534"/>
        <c:axId val="153999775"/>
      </c:areaChart>
      <c:catAx>
        <c:axId val="21069875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999775"/>
      </c:catAx>
      <c:valAx>
        <c:axId val="1539997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69875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60976917"/>
        <c:axId val="907794294"/>
      </c:barChart>
      <c:catAx>
        <c:axId val="1609769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7794294"/>
      </c:catAx>
      <c:valAx>
        <c:axId val="9077942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97691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169076681"/>
        <c:axId val="969346497"/>
      </c:barChart>
      <c:catAx>
        <c:axId val="11690766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9346497"/>
      </c:catAx>
      <c:valAx>
        <c:axId val="9693464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690766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10698822"/>
        <c:axId val="1817818414"/>
      </c:lineChart>
      <c:catAx>
        <c:axId val="19106988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7818414"/>
      </c:catAx>
      <c:valAx>
        <c:axId val="181781841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06988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84518263"/>
        <c:axId val="847756172"/>
      </c:lineChart>
      <c:catAx>
        <c:axId val="1484518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7756172"/>
      </c:catAx>
      <c:valAx>
        <c:axId val="8477561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45182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18818772"/>
        <c:axId val="2108587836"/>
      </c:barChart>
      <c:catAx>
        <c:axId val="1318818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8587836"/>
      </c:catAx>
      <c:valAx>
        <c:axId val="21085878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88187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3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13" t="s">
        <v>10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4">
        <v>923.0</v>
      </c>
      <c r="C79" s="1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17</v>
      </c>
    </row>
    <row r="92">
      <c r="B92" s="19" t="s">
        <v>18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13" t="s">
        <v>22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0" t="s">
        <v>7</v>
      </c>
      <c r="CC2" s="10">
        <v>51644.0</v>
      </c>
      <c r="CD2" s="10">
        <v>51649.0</v>
      </c>
      <c r="CE2" s="10">
        <v>51779.0</v>
      </c>
    </row>
    <row r="3">
      <c r="A3" s="1" t="s">
        <v>8</v>
      </c>
      <c r="D3" s="11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0" t="s">
        <v>12</v>
      </c>
      <c r="CC3" s="10" t="s">
        <v>12</v>
      </c>
      <c r="CD3" s="10">
        <v>39745.0</v>
      </c>
      <c r="CE3" s="10">
        <v>40670.0</v>
      </c>
    </row>
    <row r="4">
      <c r="D4" s="11"/>
    </row>
    <row r="5">
      <c r="A5" s="1" t="s">
        <v>13</v>
      </c>
      <c r="D5" s="11"/>
    </row>
    <row r="6">
      <c r="A6" s="1" t="s">
        <v>14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1"/>
    </row>
    <row r="8">
      <c r="D8" s="11"/>
    </row>
    <row r="9">
      <c r="D9" s="11"/>
    </row>
    <row r="10">
      <c r="D10" s="11"/>
    </row>
    <row r="11">
      <c r="D11" s="11"/>
    </row>
    <row r="12">
      <c r="D12" s="11"/>
    </row>
    <row r="13">
      <c r="D13" s="11"/>
    </row>
    <row r="14">
      <c r="D14" s="11"/>
    </row>
    <row r="15">
      <c r="D15" s="11"/>
    </row>
    <row r="16">
      <c r="D16" s="11"/>
    </row>
    <row r="17">
      <c r="D17" s="11"/>
    </row>
    <row r="18">
      <c r="D18" s="11"/>
    </row>
    <row r="19">
      <c r="D19" s="11"/>
    </row>
    <row r="20">
      <c r="D20" s="11"/>
    </row>
    <row r="21">
      <c r="D21" s="11"/>
    </row>
    <row r="22">
      <c r="D22" s="11"/>
    </row>
    <row r="23">
      <c r="D23" s="11"/>
    </row>
    <row r="24">
      <c r="D24" s="11"/>
    </row>
    <row r="25">
      <c r="D25" s="11"/>
    </row>
    <row r="26">
      <c r="D26" s="11"/>
    </row>
    <row r="27">
      <c r="D27" s="11"/>
    </row>
    <row r="28">
      <c r="D28" s="11"/>
    </row>
    <row r="29">
      <c r="D29" s="11"/>
    </row>
    <row r="30">
      <c r="D30" s="11"/>
    </row>
    <row r="31">
      <c r="D31" s="11"/>
    </row>
    <row r="32">
      <c r="D32" s="11"/>
    </row>
    <row r="33">
      <c r="D33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1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1" t="s">
        <v>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11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13">
        <v>0.0</v>
      </c>
      <c r="BU3" s="13">
        <v>0.0</v>
      </c>
      <c r="BV3" s="13">
        <v>0.0</v>
      </c>
      <c r="BW3" s="13">
        <v>0.0</v>
      </c>
      <c r="BX3" s="13">
        <v>0.0</v>
      </c>
      <c r="BY3" s="13">
        <v>0.0</v>
      </c>
      <c r="BZ3" s="13">
        <v>0.0</v>
      </c>
      <c r="CA3" s="13">
        <v>0.0</v>
      </c>
      <c r="CB3" s="13">
        <v>0.0</v>
      </c>
      <c r="CC3" s="13">
        <v>0.0</v>
      </c>
      <c r="CD3" s="13">
        <v>0.0</v>
      </c>
      <c r="CE3" s="13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20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23</v>
      </c>
      <c r="C6" s="20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25</v>
      </c>
      <c r="C7" s="20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13" t="s">
        <v>28</v>
      </c>
      <c r="CC7" s="13" t="s">
        <v>28</v>
      </c>
      <c r="CD7" s="13">
        <v>166.0</v>
      </c>
      <c r="CE7" s="13">
        <v>267.0</v>
      </c>
    </row>
    <row r="8">
      <c r="A8" s="1" t="s">
        <v>29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13" t="s">
        <v>32</v>
      </c>
      <c r="CC8" s="13" t="s">
        <v>32</v>
      </c>
      <c r="CD8" s="13">
        <v>135.0</v>
      </c>
      <c r="CE8" s="13" t="s">
        <v>33</v>
      </c>
    </row>
    <row r="9">
      <c r="A9" s="1" t="s">
        <v>34</v>
      </c>
      <c r="C9" s="20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37</v>
      </c>
      <c r="C10" s="20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41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45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49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13</v>
      </c>
      <c r="C18" s="24"/>
    </row>
    <row r="19">
      <c r="A19" s="1" t="s">
        <v>57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59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61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66</v>
      </c>
      <c r="C23" s="20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</row>
    <row r="3">
      <c r="A3" s="6" t="s">
        <v>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</row>
    <row r="4">
      <c r="A4" s="1" t="s">
        <v>15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6" t="s">
        <v>19</v>
      </c>
      <c r="BQ4" s="16">
        <v>3528.0</v>
      </c>
      <c r="BR4" s="16">
        <v>3503.0</v>
      </c>
      <c r="BS4" s="16">
        <v>3386.0</v>
      </c>
      <c r="BT4" s="16">
        <v>3241.0</v>
      </c>
      <c r="BU4" s="16">
        <v>3243.0</v>
      </c>
      <c r="BV4" s="16">
        <v>3232.0</v>
      </c>
      <c r="BW4" s="16">
        <v>3002.0</v>
      </c>
      <c r="BX4" s="16">
        <v>2515.0</v>
      </c>
      <c r="BY4" s="16">
        <v>2155.0</v>
      </c>
      <c r="BZ4" s="16">
        <v>1756.0</v>
      </c>
      <c r="CA4" s="16">
        <v>1359.0</v>
      </c>
      <c r="CB4" s="16">
        <v>1102.0</v>
      </c>
      <c r="CC4" s="17">
        <v>1014.0</v>
      </c>
      <c r="CD4" s="18">
        <v>879.0</v>
      </c>
    </row>
    <row r="5">
      <c r="A5" s="1" t="s">
        <v>20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2">
        <v>455.0</v>
      </c>
      <c r="BR5" s="12">
        <v>451.0</v>
      </c>
      <c r="BS5" s="12">
        <v>446.0</v>
      </c>
      <c r="BT5" s="12">
        <v>404.0</v>
      </c>
      <c r="BU5" s="12">
        <v>404.0</v>
      </c>
      <c r="BV5" s="12">
        <v>419.0</v>
      </c>
      <c r="BW5" s="12">
        <v>387.0</v>
      </c>
      <c r="BX5" s="12">
        <v>320.0</v>
      </c>
      <c r="BY5" s="12">
        <v>277.0</v>
      </c>
      <c r="BZ5" s="12">
        <v>230.0</v>
      </c>
      <c r="CA5" s="12">
        <v>191.0</v>
      </c>
      <c r="CB5" s="12">
        <v>151.0</v>
      </c>
      <c r="CC5" s="17">
        <v>144.0</v>
      </c>
      <c r="CD5" s="18">
        <v>135.0</v>
      </c>
    </row>
    <row r="6">
      <c r="A6" s="1" t="s">
        <v>21</v>
      </c>
      <c r="D6" s="1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2"/>
      <c r="BR6" s="12"/>
      <c r="BS6" s="12"/>
      <c r="BT6" s="12"/>
      <c r="BU6" s="12"/>
      <c r="BV6" s="12">
        <v>94.0</v>
      </c>
      <c r="BW6" s="12">
        <v>76.0</v>
      </c>
      <c r="BX6" s="12">
        <v>27.0</v>
      </c>
      <c r="BY6" s="12">
        <v>27.0</v>
      </c>
      <c r="BZ6" s="12">
        <v>19.0</v>
      </c>
      <c r="CA6" s="12">
        <v>17.0</v>
      </c>
      <c r="CB6" s="12">
        <v>16.0</v>
      </c>
      <c r="CC6" s="17">
        <v>17.0</v>
      </c>
      <c r="CD6" s="18">
        <v>48.0</v>
      </c>
    </row>
    <row r="7">
      <c r="A7" s="1" t="s">
        <v>24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26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2">
        <v>222.0</v>
      </c>
      <c r="BR7" s="12">
        <v>221.0</v>
      </c>
      <c r="BS7" s="12">
        <v>217.0</v>
      </c>
      <c r="BT7" s="12">
        <v>201.0</v>
      </c>
      <c r="BU7" s="12">
        <v>196.0</v>
      </c>
      <c r="BV7" s="12">
        <v>191.0</v>
      </c>
      <c r="BW7" s="12">
        <v>167.0</v>
      </c>
      <c r="BX7" s="12">
        <v>147.0</v>
      </c>
      <c r="BY7" s="12">
        <v>116.0</v>
      </c>
      <c r="BZ7" s="12">
        <v>87.0</v>
      </c>
      <c r="CA7" s="12">
        <v>62.0</v>
      </c>
      <c r="CB7" s="12">
        <v>45.0</v>
      </c>
      <c r="CC7" s="17">
        <v>44.0</v>
      </c>
      <c r="CD7" s="18">
        <v>39.0</v>
      </c>
    </row>
    <row r="8">
      <c r="A8" s="1" t="s">
        <v>27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2">
        <v>56.0</v>
      </c>
      <c r="BR8" s="12">
        <v>56.0</v>
      </c>
      <c r="BS8" s="12">
        <v>53.0</v>
      </c>
      <c r="BT8" s="12">
        <v>57.0</v>
      </c>
      <c r="BU8" s="12">
        <v>51.0</v>
      </c>
      <c r="BV8" s="12">
        <v>57.0</v>
      </c>
      <c r="BW8" s="12">
        <v>55.0</v>
      </c>
      <c r="BX8" s="12">
        <v>43.0</v>
      </c>
      <c r="BY8" s="12">
        <v>35.0</v>
      </c>
      <c r="BZ8" s="12">
        <v>30.0</v>
      </c>
      <c r="CA8" s="12">
        <v>25.0</v>
      </c>
      <c r="CB8" s="12">
        <v>22.0</v>
      </c>
      <c r="CC8" s="17">
        <v>22.0</v>
      </c>
      <c r="CD8" s="18">
        <v>20.0</v>
      </c>
    </row>
    <row r="9">
      <c r="A9" s="1" t="s">
        <v>31</v>
      </c>
      <c r="D9" s="11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2">
        <v>66.0</v>
      </c>
      <c r="BR9" s="12">
        <v>63.0</v>
      </c>
      <c r="BS9" s="12">
        <v>62.0</v>
      </c>
      <c r="BT9" s="12">
        <v>61.0</v>
      </c>
      <c r="BU9" s="12">
        <v>61.0</v>
      </c>
      <c r="BV9" s="12">
        <v>58.0</v>
      </c>
      <c r="BW9" s="12">
        <v>58.0</v>
      </c>
      <c r="BX9" s="12">
        <v>54.0</v>
      </c>
      <c r="BY9" s="12">
        <v>50.0</v>
      </c>
      <c r="BZ9" s="12">
        <v>48.0</v>
      </c>
      <c r="CA9" s="12">
        <v>41.0</v>
      </c>
      <c r="CB9" s="12">
        <v>33.0</v>
      </c>
      <c r="CC9" s="17">
        <v>28.0</v>
      </c>
      <c r="CD9" s="18">
        <v>18.0</v>
      </c>
    </row>
    <row r="10">
      <c r="A10" s="1" t="s">
        <v>35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2">
        <v>20.0</v>
      </c>
      <c r="BR10" s="12">
        <v>33.0</v>
      </c>
      <c r="BS10" s="12">
        <v>33.0</v>
      </c>
      <c r="BT10" s="12">
        <v>32.0</v>
      </c>
      <c r="BU10" s="12">
        <v>32.0</v>
      </c>
      <c r="BV10" s="12">
        <v>24.0</v>
      </c>
      <c r="BW10" s="12">
        <v>16.0</v>
      </c>
      <c r="BX10" s="12">
        <v>17.0</v>
      </c>
      <c r="BY10" s="12">
        <v>17.0</v>
      </c>
      <c r="BZ10" s="12">
        <v>17.0</v>
      </c>
      <c r="CA10" s="12">
        <v>17.0</v>
      </c>
      <c r="CB10" s="12">
        <v>14.0</v>
      </c>
      <c r="CC10" s="17">
        <v>14.0</v>
      </c>
      <c r="CD10" s="18">
        <v>14.0</v>
      </c>
    </row>
    <row r="11">
      <c r="A11" s="1" t="s">
        <v>38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2">
        <v>32.0</v>
      </c>
      <c r="BR11" s="12">
        <v>31.0</v>
      </c>
      <c r="BS11" s="12">
        <v>32.0</v>
      </c>
      <c r="BT11" s="12">
        <v>36.0</v>
      </c>
      <c r="BU11" s="12">
        <v>40.0</v>
      </c>
      <c r="BV11" s="12">
        <v>40.0</v>
      </c>
      <c r="BW11" s="12">
        <v>31.0</v>
      </c>
      <c r="BX11" s="12">
        <v>19.0</v>
      </c>
      <c r="BY11" s="12">
        <v>15.0</v>
      </c>
      <c r="BZ11" s="12">
        <v>15.0</v>
      </c>
      <c r="CA11" s="12">
        <v>11.0</v>
      </c>
      <c r="CB11" s="12"/>
      <c r="CC11" s="17">
        <v>11.0</v>
      </c>
      <c r="CD11" s="18">
        <v>11.0</v>
      </c>
    </row>
    <row r="12">
      <c r="A12" s="1" t="s">
        <v>40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2">
        <v>10.0</v>
      </c>
      <c r="BR12" s="12">
        <v>10.0</v>
      </c>
      <c r="BS12" s="12">
        <v>10.0</v>
      </c>
      <c r="BT12" s="12">
        <v>10.0</v>
      </c>
      <c r="BU12" s="12">
        <v>10.0</v>
      </c>
      <c r="BV12" s="12">
        <v>10.0</v>
      </c>
      <c r="BW12" s="12">
        <v>10.0</v>
      </c>
      <c r="BX12" s="12">
        <v>10.0</v>
      </c>
      <c r="BY12" s="12">
        <v>10.0</v>
      </c>
      <c r="BZ12" s="12">
        <v>10.0</v>
      </c>
      <c r="CA12" s="12">
        <v>10.0</v>
      </c>
      <c r="CB12" s="12">
        <v>10.0</v>
      </c>
      <c r="CC12" s="17">
        <v>10.0</v>
      </c>
      <c r="CD12" s="18">
        <v>10.0</v>
      </c>
    </row>
    <row r="13">
      <c r="A13" s="1" t="s">
        <v>43</v>
      </c>
      <c r="D13" s="11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2">
        <v>12.0</v>
      </c>
      <c r="BR13" s="12">
        <v>12.0</v>
      </c>
      <c r="BS13" s="12">
        <v>12.0</v>
      </c>
      <c r="BT13" s="12">
        <v>12.0</v>
      </c>
      <c r="BU13" s="12"/>
      <c r="BV13" s="12"/>
      <c r="BW13" s="12"/>
      <c r="BX13" s="12"/>
      <c r="BY13" s="12"/>
      <c r="BZ13" s="12"/>
      <c r="CA13" s="12"/>
      <c r="CB13" s="12"/>
      <c r="CC13" s="12"/>
      <c r="CD13" s="12"/>
    </row>
    <row r="14">
      <c r="A14" s="1" t="s">
        <v>44</v>
      </c>
      <c r="D14" s="11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</row>
    <row r="15">
      <c r="A15" s="1" t="s">
        <v>47</v>
      </c>
      <c r="D15" s="11"/>
      <c r="S15" s="11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2">
        <v>16.0</v>
      </c>
      <c r="BR15" s="12">
        <v>18.0</v>
      </c>
      <c r="BS15" s="12">
        <v>18.0</v>
      </c>
      <c r="BT15" s="12">
        <v>19.0</v>
      </c>
      <c r="BU15" s="12">
        <v>19.0</v>
      </c>
      <c r="BV15" s="12">
        <v>19.0</v>
      </c>
      <c r="BW15" s="12">
        <v>16.0</v>
      </c>
      <c r="BX15" s="12">
        <v>15.0</v>
      </c>
      <c r="BY15" s="12">
        <v>13.0</v>
      </c>
      <c r="BZ15" s="12">
        <v>11.0</v>
      </c>
      <c r="CA15" s="12"/>
      <c r="CB15" s="12"/>
      <c r="CC15" s="12"/>
      <c r="CD15" s="12"/>
    </row>
    <row r="16">
      <c r="A16" s="1" t="s">
        <v>48</v>
      </c>
      <c r="B16" s="1">
        <v>10.0</v>
      </c>
      <c r="C16" s="1">
        <v>10.0</v>
      </c>
      <c r="D16" s="11"/>
      <c r="S16" s="11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</row>
    <row r="17">
      <c r="A17" s="1" t="s">
        <v>51</v>
      </c>
      <c r="B17" s="1">
        <v>10.0</v>
      </c>
      <c r="C17" s="1">
        <v>10.0</v>
      </c>
      <c r="D17" s="11"/>
      <c r="S17" s="11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1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</row>
    <row r="19">
      <c r="A19" s="1" t="s">
        <v>54</v>
      </c>
      <c r="D19" s="11"/>
      <c r="Q19" s="1">
        <v>10.0</v>
      </c>
      <c r="R19" s="1">
        <v>10.0</v>
      </c>
      <c r="S19" s="1">
        <v>10.0</v>
      </c>
      <c r="T19" s="20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2">
        <v>7.0</v>
      </c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</row>
    <row r="20">
      <c r="A20" s="1" t="s">
        <v>55</v>
      </c>
      <c r="D20" s="11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</row>
    <row r="21">
      <c r="A21" s="1" t="s">
        <v>58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2">
        <v>38.0</v>
      </c>
      <c r="BR21" s="12">
        <v>36.0</v>
      </c>
      <c r="BS21" s="12">
        <v>36.0</v>
      </c>
      <c r="BT21" s="12">
        <v>26.0</v>
      </c>
      <c r="BU21" s="12">
        <v>31.0</v>
      </c>
      <c r="BV21" s="12">
        <v>20.0</v>
      </c>
      <c r="BW21" s="12">
        <v>20.0</v>
      </c>
      <c r="BX21" s="12">
        <v>11.0</v>
      </c>
      <c r="BY21" s="12"/>
      <c r="BZ21" s="12"/>
      <c r="CA21" s="12">
        <v>10.0</v>
      </c>
      <c r="CB21" s="12"/>
      <c r="CC21" s="12"/>
      <c r="CD21" s="12"/>
    </row>
    <row r="22">
      <c r="A22" s="1" t="s">
        <v>60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2"/>
      <c r="BR22" s="12"/>
      <c r="BS22" s="12"/>
      <c r="BT22" s="12"/>
      <c r="BU22" s="12">
        <v>10.0</v>
      </c>
      <c r="BV22" s="12"/>
      <c r="BW22" s="12"/>
      <c r="BX22" s="12"/>
      <c r="BY22" s="12"/>
      <c r="BZ22" s="12"/>
      <c r="CA22" s="12"/>
      <c r="CB22" s="12"/>
      <c r="CC22" s="12"/>
      <c r="CD22" s="12"/>
    </row>
    <row r="23">
      <c r="A23" s="1" t="s">
        <v>62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2">
        <v>21.0</v>
      </c>
      <c r="BR23" s="12">
        <v>26.0</v>
      </c>
      <c r="BS23" s="12">
        <v>27.0</v>
      </c>
      <c r="BT23" s="12">
        <v>25.0</v>
      </c>
      <c r="BU23" s="12">
        <v>21.0</v>
      </c>
      <c r="BV23" s="12">
        <v>13.0</v>
      </c>
      <c r="BW23" s="12">
        <v>14.0</v>
      </c>
      <c r="BX23" s="12">
        <v>13.0</v>
      </c>
      <c r="BY23" s="12">
        <v>10.0</v>
      </c>
      <c r="BZ23" s="12"/>
      <c r="CA23" s="12"/>
      <c r="CB23" s="12"/>
      <c r="CC23" s="12"/>
      <c r="CD23" s="12"/>
    </row>
    <row r="24">
      <c r="A24" s="1" t="s">
        <v>65</v>
      </c>
      <c r="B24" s="1">
        <v>11.0</v>
      </c>
      <c r="C24" s="1">
        <v>11.0</v>
      </c>
      <c r="D24" s="11"/>
      <c r="E24" s="11"/>
      <c r="F24" s="11"/>
      <c r="T24" s="30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67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4"/>
      <c r="AI25" s="31"/>
      <c r="AJ25" s="31"/>
      <c r="AK25" s="31"/>
      <c r="AL25" s="31">
        <v>10.0</v>
      </c>
      <c r="AM25" s="18"/>
      <c r="AN25" s="18"/>
      <c r="AO25" s="18"/>
      <c r="AP25" s="18"/>
      <c r="AQ25" s="18"/>
      <c r="AR25" s="18"/>
      <c r="AS25" s="18"/>
      <c r="AT25" s="18">
        <v>10.0</v>
      </c>
      <c r="AU25" s="18">
        <v>10.0</v>
      </c>
      <c r="AV25" s="18">
        <v>10.0</v>
      </c>
      <c r="AW25" s="18">
        <v>10.0</v>
      </c>
      <c r="AX25" s="18"/>
      <c r="AY25" s="18"/>
      <c r="AZ25" s="18"/>
      <c r="BA25" s="18"/>
      <c r="BB25" s="18">
        <v>13.0</v>
      </c>
      <c r="BC25" s="18"/>
      <c r="BD25" s="18"/>
      <c r="BE25" s="18"/>
      <c r="BF25" s="18">
        <v>11.0</v>
      </c>
      <c r="BG25" s="18">
        <v>11.0</v>
      </c>
      <c r="BH25" s="18"/>
      <c r="BI25" s="18">
        <v>13.0</v>
      </c>
      <c r="BJ25" s="18">
        <v>13.0</v>
      </c>
      <c r="BK25" s="18">
        <v>13.0</v>
      </c>
      <c r="BL25" s="18">
        <v>23.0</v>
      </c>
      <c r="BM25" s="18">
        <v>23.0</v>
      </c>
      <c r="BN25" s="18">
        <v>23.0</v>
      </c>
      <c r="BO25" s="18">
        <v>20.0</v>
      </c>
      <c r="BP25" s="18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1" t="s">
        <v>68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20">
        <v>2215.0</v>
      </c>
      <c r="S26" s="20">
        <v>2215.0</v>
      </c>
      <c r="T26" s="20">
        <v>2216.0</v>
      </c>
      <c r="U26" s="20">
        <v>2325.0</v>
      </c>
      <c r="V26" s="20">
        <v>2432.0</v>
      </c>
      <c r="W26" s="20">
        <v>2569.0</v>
      </c>
      <c r="X26" s="20">
        <v>2490.0</v>
      </c>
      <c r="Y26" s="20">
        <v>2444.0</v>
      </c>
      <c r="Z26" s="20">
        <v>2693.0</v>
      </c>
      <c r="AA26" s="20">
        <v>2819.0</v>
      </c>
      <c r="AB26" s="20">
        <v>3052.0</v>
      </c>
      <c r="AC26" s="20">
        <v>3360.0</v>
      </c>
      <c r="AD26" s="20">
        <v>3603.0</v>
      </c>
      <c r="AE26" s="20">
        <v>3316.0</v>
      </c>
      <c r="AF26" s="20">
        <v>2727.0</v>
      </c>
      <c r="AG26" s="20">
        <v>2568.0</v>
      </c>
      <c r="AH26" s="24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18">
        <v>930.0</v>
      </c>
      <c r="AN26" s="18">
        <v>922.0</v>
      </c>
      <c r="AO26" s="18">
        <v>956.0</v>
      </c>
      <c r="AP26" s="18">
        <v>927.0</v>
      </c>
      <c r="AQ26" s="18">
        <v>943.0</v>
      </c>
      <c r="AR26" s="18">
        <v>921.0</v>
      </c>
      <c r="AS26" s="18">
        <v>907.0</v>
      </c>
      <c r="AT26" s="18">
        <v>907.0</v>
      </c>
      <c r="AU26" s="18">
        <v>907.0</v>
      </c>
      <c r="AV26" s="18">
        <v>904.0</v>
      </c>
      <c r="AW26" s="18">
        <v>839.0</v>
      </c>
      <c r="AX26" s="18">
        <v>925.0</v>
      </c>
      <c r="AY26" s="18">
        <v>914.0</v>
      </c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3"/>
      <c r="E27" s="11"/>
      <c r="F27" s="11"/>
      <c r="J27" s="11"/>
      <c r="T27" s="34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1"/>
      <c r="E28" s="11"/>
      <c r="F28" s="11"/>
      <c r="J28" s="11"/>
      <c r="T28" s="34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1"/>
      <c r="F29" s="11"/>
      <c r="J29" s="11"/>
      <c r="T29" s="34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1"/>
      <c r="F30" s="11"/>
      <c r="J30" s="11"/>
      <c r="T30" s="11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1"/>
      <c r="F31" s="11"/>
      <c r="J31" s="11"/>
      <c r="T31" s="11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1"/>
      <c r="F32" s="11"/>
      <c r="J32" s="11"/>
      <c r="T32" s="11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1"/>
      <c r="F33" s="11"/>
      <c r="J33" s="11"/>
      <c r="T33" s="11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1"/>
      <c r="F34" s="11"/>
      <c r="J34" s="11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1"/>
      <c r="F35" s="11"/>
      <c r="J35" s="11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1"/>
      <c r="F36" s="11"/>
      <c r="J36" s="11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1"/>
      <c r="F37" s="11"/>
      <c r="J37" s="11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1"/>
      <c r="J38" s="11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1"/>
      <c r="J39" s="11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1"/>
      <c r="J40" s="11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1"/>
      <c r="J41" s="11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1"/>
      <c r="J42" s="11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1"/>
      <c r="J43" s="11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1"/>
      <c r="J44" s="11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1"/>
      <c r="J45" s="11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1"/>
      <c r="J46" s="11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1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1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1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1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1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1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1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1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1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1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1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36</v>
      </c>
      <c r="B2" s="11"/>
      <c r="F2" s="11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39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42</v>
      </c>
      <c r="B4" s="24"/>
      <c r="F4" s="11"/>
      <c r="H4" s="20">
        <v>3.0</v>
      </c>
      <c r="I4" s="20">
        <v>0.0</v>
      </c>
      <c r="J4" s="20">
        <v>0.0</v>
      </c>
      <c r="K4" s="20">
        <v>0.0</v>
      </c>
      <c r="L4" s="20">
        <v>8.0</v>
      </c>
      <c r="M4" s="20">
        <v>0.0</v>
      </c>
      <c r="N4" s="20">
        <v>0.0</v>
      </c>
      <c r="O4" s="20">
        <v>21.0</v>
      </c>
      <c r="P4" s="20">
        <v>0.0</v>
      </c>
      <c r="Q4" s="20">
        <v>8.0</v>
      </c>
      <c r="R4" s="20">
        <v>22.0</v>
      </c>
      <c r="S4" s="20">
        <v>28.0</v>
      </c>
      <c r="T4" s="20">
        <v>3.0</v>
      </c>
      <c r="U4" s="20">
        <v>10.0</v>
      </c>
      <c r="V4" s="20">
        <v>0.0</v>
      </c>
      <c r="W4" s="20">
        <v>1.0</v>
      </c>
      <c r="X4" s="20">
        <v>0.0</v>
      </c>
      <c r="Y4" s="20">
        <v>3.0</v>
      </c>
      <c r="Z4" s="20">
        <v>0.0</v>
      </c>
      <c r="AA4" s="20">
        <v>0.0</v>
      </c>
      <c r="AB4" s="20">
        <v>0.0</v>
      </c>
      <c r="AC4" s="20">
        <v>0.0</v>
      </c>
      <c r="AD4" s="20">
        <v>0.0</v>
      </c>
      <c r="AE4" s="20">
        <v>1.0</v>
      </c>
      <c r="AF4" s="20">
        <v>0.0</v>
      </c>
      <c r="AG4" s="20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46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50</v>
      </c>
      <c r="B6" s="17">
        <f t="shared" ref="B6:AU6" si="1">SUM(B2:B5)</f>
        <v>470</v>
      </c>
      <c r="C6" s="17">
        <f t="shared" si="1"/>
        <v>398</v>
      </c>
      <c r="D6" s="17">
        <f t="shared" si="1"/>
        <v>516</v>
      </c>
      <c r="E6" s="17">
        <f t="shared" si="1"/>
        <v>687</v>
      </c>
      <c r="F6" s="17">
        <f t="shared" si="1"/>
        <v>792</v>
      </c>
      <c r="G6" s="17">
        <f t="shared" si="1"/>
        <v>806</v>
      </c>
      <c r="H6" s="17">
        <f t="shared" si="1"/>
        <v>958</v>
      </c>
      <c r="I6" s="17">
        <f t="shared" si="1"/>
        <v>832</v>
      </c>
      <c r="J6" s="17">
        <f t="shared" si="1"/>
        <v>726</v>
      </c>
      <c r="K6" s="17">
        <f t="shared" si="1"/>
        <v>1032</v>
      </c>
      <c r="L6" s="17">
        <f t="shared" si="1"/>
        <v>1278</v>
      </c>
      <c r="M6" s="17">
        <f t="shared" si="1"/>
        <v>1639</v>
      </c>
      <c r="N6" s="17">
        <f t="shared" si="1"/>
        <v>1994</v>
      </c>
      <c r="O6" s="17">
        <f t="shared" si="1"/>
        <v>2032</v>
      </c>
      <c r="P6" s="17">
        <f t="shared" si="1"/>
        <v>2107</v>
      </c>
      <c r="Q6" s="17">
        <f t="shared" si="1"/>
        <v>2006</v>
      </c>
      <c r="R6" s="17">
        <f t="shared" si="1"/>
        <v>2246</v>
      </c>
      <c r="S6" s="17">
        <f t="shared" si="1"/>
        <v>3382</v>
      </c>
      <c r="T6" s="17">
        <f t="shared" si="1"/>
        <v>3567</v>
      </c>
      <c r="U6" s="17">
        <f t="shared" si="1"/>
        <v>3684</v>
      </c>
      <c r="V6" s="17">
        <f t="shared" si="1"/>
        <v>3344</v>
      </c>
      <c r="W6" s="17">
        <f t="shared" si="1"/>
        <v>3228</v>
      </c>
      <c r="X6" s="17">
        <f t="shared" si="1"/>
        <v>2527</v>
      </c>
      <c r="Y6" s="17">
        <f t="shared" si="1"/>
        <v>2218</v>
      </c>
      <c r="Z6" s="17">
        <f t="shared" si="1"/>
        <v>1513</v>
      </c>
      <c r="AA6" s="17">
        <f t="shared" si="1"/>
        <v>1032</v>
      </c>
      <c r="AB6" s="17">
        <f t="shared" si="1"/>
        <v>575</v>
      </c>
      <c r="AC6" s="17">
        <f t="shared" si="1"/>
        <v>339</v>
      </c>
      <c r="AD6" s="17">
        <f t="shared" si="1"/>
        <v>251</v>
      </c>
      <c r="AE6" s="17">
        <f t="shared" si="1"/>
        <v>253</v>
      </c>
      <c r="AF6" s="17">
        <f t="shared" si="1"/>
        <v>262</v>
      </c>
      <c r="AG6" s="17">
        <f t="shared" si="1"/>
        <v>406</v>
      </c>
      <c r="AH6" s="17">
        <f t="shared" si="1"/>
        <v>230</v>
      </c>
      <c r="AI6" s="17">
        <f t="shared" si="1"/>
        <v>202</v>
      </c>
      <c r="AJ6" s="17">
        <f t="shared" si="1"/>
        <v>69</v>
      </c>
      <c r="AK6" s="17">
        <f t="shared" si="1"/>
        <v>29</v>
      </c>
      <c r="AL6" s="17">
        <f t="shared" si="1"/>
        <v>26</v>
      </c>
      <c r="AM6" s="17">
        <f t="shared" si="1"/>
        <v>4</v>
      </c>
      <c r="AN6" s="17">
        <f t="shared" si="1"/>
        <v>15</v>
      </c>
      <c r="AO6" s="17">
        <f t="shared" si="1"/>
        <v>7</v>
      </c>
      <c r="AP6" s="17">
        <f t="shared" si="1"/>
        <v>43</v>
      </c>
      <c r="AQ6" s="17">
        <f t="shared" si="1"/>
        <v>76</v>
      </c>
      <c r="AR6" s="17">
        <f t="shared" si="1"/>
        <v>133</v>
      </c>
      <c r="AS6" s="17">
        <f t="shared" si="1"/>
        <v>84</v>
      </c>
      <c r="AT6" s="17">
        <f t="shared" si="1"/>
        <v>39</v>
      </c>
      <c r="AU6" s="17">
        <f t="shared" si="1"/>
        <v>31</v>
      </c>
      <c r="AV6" s="18">
        <v>84.0</v>
      </c>
      <c r="AW6" s="18">
        <v>29.0</v>
      </c>
      <c r="AX6" s="18">
        <v>53.0</v>
      </c>
      <c r="AY6" s="18">
        <v>17.0</v>
      </c>
      <c r="AZ6" s="18">
        <v>40.0</v>
      </c>
      <c r="BA6" s="18">
        <v>34.0</v>
      </c>
      <c r="BB6" s="18">
        <f t="shared" ref="BB6:BC6" si="2">SUM(BB2:BB5)</f>
        <v>20</v>
      </c>
      <c r="BC6" s="18">
        <f t="shared" si="2"/>
        <v>17</v>
      </c>
      <c r="BD6" s="18">
        <v>19.0</v>
      </c>
      <c r="BE6" s="18">
        <v>26.0</v>
      </c>
      <c r="BF6" s="18">
        <f t="shared" ref="BF6:BH6" si="3">SUM(BF2:BF5)</f>
        <v>29</v>
      </c>
      <c r="BG6" s="18">
        <f t="shared" si="3"/>
        <v>6</v>
      </c>
      <c r="BH6" s="18">
        <f t="shared" si="3"/>
        <v>8</v>
      </c>
      <c r="BI6" s="18">
        <v>33.0</v>
      </c>
      <c r="BJ6" s="18">
        <v>35.0</v>
      </c>
      <c r="BK6" s="18">
        <v>9.0</v>
      </c>
      <c r="BL6" s="18">
        <v>5.0</v>
      </c>
      <c r="BM6" s="18">
        <v>7.0</v>
      </c>
      <c r="BN6" s="18">
        <f t="shared" ref="BN6:CE6" si="4">SUM(BN2:BN5)</f>
        <v>12</v>
      </c>
      <c r="BO6" s="18">
        <f t="shared" si="4"/>
        <v>13</v>
      </c>
      <c r="BP6" s="18">
        <f t="shared" si="4"/>
        <v>21</v>
      </c>
      <c r="BQ6" s="18">
        <f t="shared" si="4"/>
        <v>17</v>
      </c>
      <c r="BR6" s="18">
        <f t="shared" si="4"/>
        <v>19</v>
      </c>
      <c r="BS6" s="18">
        <f t="shared" si="4"/>
        <v>10</v>
      </c>
      <c r="BT6" s="18">
        <f t="shared" si="4"/>
        <v>15</v>
      </c>
      <c r="BU6" s="18">
        <f t="shared" si="4"/>
        <v>21</v>
      </c>
      <c r="BV6" s="18">
        <f t="shared" si="4"/>
        <v>4</v>
      </c>
      <c r="BW6" s="18">
        <f t="shared" si="4"/>
        <v>6</v>
      </c>
      <c r="BX6" s="18">
        <f t="shared" si="4"/>
        <v>9</v>
      </c>
      <c r="BY6" s="18">
        <f t="shared" si="4"/>
        <v>16</v>
      </c>
      <c r="BZ6" s="18">
        <f t="shared" si="4"/>
        <v>12</v>
      </c>
      <c r="CA6" s="18">
        <f t="shared" si="4"/>
        <v>56</v>
      </c>
      <c r="CB6" s="18">
        <f t="shared" si="4"/>
        <v>6</v>
      </c>
      <c r="CC6" s="18">
        <f t="shared" si="4"/>
        <v>4</v>
      </c>
      <c r="CD6" s="18">
        <f t="shared" si="4"/>
        <v>0</v>
      </c>
      <c r="CE6" s="18">
        <f t="shared" si="4"/>
        <v>0</v>
      </c>
    </row>
    <row r="7">
      <c r="A7" s="1" t="s">
        <v>56</v>
      </c>
      <c r="C7" s="20">
        <v>35.0</v>
      </c>
      <c r="D7" s="20">
        <v>73.0</v>
      </c>
      <c r="E7" s="20">
        <v>213.0</v>
      </c>
      <c r="F7" s="20">
        <v>220.0</v>
      </c>
      <c r="G7" s="20">
        <v>115.0</v>
      </c>
      <c r="H7" s="20">
        <v>290.0</v>
      </c>
      <c r="I7" s="20">
        <v>295.0</v>
      </c>
      <c r="J7" s="20">
        <v>257.0</v>
      </c>
      <c r="K7" s="20">
        <v>316.0</v>
      </c>
      <c r="L7" s="20">
        <v>316.0</v>
      </c>
      <c r="M7" s="20">
        <v>473.0</v>
      </c>
      <c r="N7" s="20">
        <v>705.0</v>
      </c>
      <c r="O7" s="20">
        <v>472.0</v>
      </c>
      <c r="P7" s="20">
        <v>705.0</v>
      </c>
      <c r="Q7" s="20">
        <v>646.0</v>
      </c>
      <c r="R7" s="20">
        <v>579.0</v>
      </c>
      <c r="S7" s="20">
        <v>737.0</v>
      </c>
      <c r="T7" s="20">
        <v>744.0</v>
      </c>
      <c r="U7" s="20">
        <v>886.0</v>
      </c>
      <c r="V7" s="20">
        <v>803.0</v>
      </c>
      <c r="W7" s="20">
        <v>731.0</v>
      </c>
      <c r="X7" s="20">
        <v>471.0</v>
      </c>
      <c r="Y7" s="20">
        <v>414.0</v>
      </c>
      <c r="Z7" s="20">
        <v>303.0</v>
      </c>
      <c r="AA7" s="20">
        <v>58.0</v>
      </c>
      <c r="AB7" s="20">
        <v>36.0</v>
      </c>
      <c r="AC7" s="20">
        <v>29.0</v>
      </c>
      <c r="AD7" s="20">
        <v>12.0</v>
      </c>
      <c r="AE7" s="20">
        <v>30.0</v>
      </c>
      <c r="AF7" s="20">
        <v>20.0</v>
      </c>
      <c r="AG7" s="20">
        <v>1.0</v>
      </c>
      <c r="AH7" s="20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1" t="s">
        <v>64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69</v>
      </c>
      <c r="B10" s="24"/>
      <c r="F10" s="11"/>
      <c r="J10" s="20">
        <v>556.0</v>
      </c>
      <c r="K10" s="20">
        <v>610.0</v>
      </c>
      <c r="L10" s="20">
        <v>783.0</v>
      </c>
      <c r="M10" s="20">
        <v>798.0</v>
      </c>
      <c r="N10" s="20">
        <v>814.0</v>
      </c>
      <c r="O10" s="20">
        <v>828.0</v>
      </c>
      <c r="P10" s="20">
        <v>996.0</v>
      </c>
      <c r="Q10" s="20">
        <v>992.0</v>
      </c>
      <c r="R10" s="20">
        <v>1000.0</v>
      </c>
      <c r="S10" s="20">
        <v>1198.0</v>
      </c>
      <c r="T10" s="20">
        <v>1151.0</v>
      </c>
      <c r="U10" s="20">
        <v>1302.0</v>
      </c>
      <c r="V10" s="20">
        <v>1283.0</v>
      </c>
      <c r="W10" s="20">
        <v>1269.0</v>
      </c>
      <c r="X10" s="20">
        <v>1269.0</v>
      </c>
      <c r="Y10" s="20">
        <v>1228.0</v>
      </c>
      <c r="Z10" s="20">
        <v>1194.0</v>
      </c>
      <c r="AA10" s="20">
        <v>1265.0</v>
      </c>
      <c r="AB10" s="20">
        <v>1247.0</v>
      </c>
      <c r="AC10" s="20">
        <v>1242.0</v>
      </c>
      <c r="AD10" s="20">
        <v>1226.0</v>
      </c>
      <c r="AE10" s="20">
        <v>1204.0</v>
      </c>
      <c r="AF10" s="20">
        <v>1200.0</v>
      </c>
      <c r="AG10" s="20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1"/>
      <c r="J11" s="24"/>
      <c r="O11" s="20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72</v>
      </c>
      <c r="B12" s="36"/>
      <c r="F12" s="11"/>
      <c r="J12" s="24"/>
      <c r="O12" s="20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74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75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20">
        <v>249.0</v>
      </c>
      <c r="U14" s="20">
        <v>243.0</v>
      </c>
      <c r="V14" s="20">
        <v>248.0</v>
      </c>
      <c r="W14" s="20">
        <v>244.0</v>
      </c>
      <c r="X14" s="20">
        <v>246.0</v>
      </c>
      <c r="Y14" s="20">
        <v>248.0</v>
      </c>
      <c r="Z14" s="20">
        <v>246.0</v>
      </c>
      <c r="AA14" s="20">
        <v>241.0</v>
      </c>
      <c r="AB14" s="20">
        <v>245.0</v>
      </c>
      <c r="AC14" s="20">
        <v>248.0</v>
      </c>
      <c r="AD14" s="20">
        <v>248.0</v>
      </c>
      <c r="AE14" s="20">
        <v>256.0</v>
      </c>
      <c r="AF14" s="20">
        <v>259.0</v>
      </c>
      <c r="AG14" s="20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6"/>
      <c r="Q15" s="36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1" t="s">
        <v>76</v>
      </c>
      <c r="B16" s="36"/>
      <c r="Q16" s="36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1" t="s">
        <v>77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40"/>
      <c r="AK17" s="40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78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40">
        <v>147.0</v>
      </c>
      <c r="AK18" s="40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79</v>
      </c>
      <c r="B19" s="24"/>
      <c r="F19" s="11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80</v>
      </c>
      <c r="B20" s="24"/>
      <c r="F20" s="11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82</v>
      </c>
      <c r="B22" s="24"/>
      <c r="F22" s="11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83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84</v>
      </c>
      <c r="B24" s="24"/>
      <c r="F24" s="11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4"/>
      <c r="F25" s="11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2">
        <v>1090.0</v>
      </c>
      <c r="AU26" s="12">
        <v>1028.0</v>
      </c>
      <c r="AV26" s="12">
        <v>974.0</v>
      </c>
      <c r="AW26" s="12">
        <v>949.0</v>
      </c>
      <c r="AX26" s="12">
        <v>891.0</v>
      </c>
      <c r="AY26" s="12">
        <v>869.0</v>
      </c>
      <c r="AZ26" s="12">
        <v>827.0</v>
      </c>
      <c r="BA26" s="12">
        <v>788.0</v>
      </c>
      <c r="BB26" s="12">
        <v>748.0</v>
      </c>
      <c r="BC26" s="12">
        <v>808.0</v>
      </c>
      <c r="BD26" s="12">
        <v>706.0</v>
      </c>
      <c r="BE26" s="12">
        <v>691.0</v>
      </c>
      <c r="BF26" s="12">
        <v>717.0</v>
      </c>
      <c r="BG26" s="12">
        <v>774.0</v>
      </c>
      <c r="BH26" s="12">
        <v>759.0</v>
      </c>
      <c r="BI26" s="12">
        <v>757.0</v>
      </c>
      <c r="BJ26" s="12">
        <v>745.0</v>
      </c>
      <c r="BK26" s="12">
        <v>752.0</v>
      </c>
      <c r="BL26" s="12">
        <v>720.0</v>
      </c>
      <c r="BM26" s="12">
        <v>705.0</v>
      </c>
      <c r="BN26" s="12">
        <v>731.0</v>
      </c>
      <c r="BO26" s="12">
        <v>739.0</v>
      </c>
      <c r="BP26" s="12">
        <v>792.0</v>
      </c>
      <c r="BQ26" s="12">
        <v>834.0</v>
      </c>
      <c r="BR26" s="12">
        <v>868.0</v>
      </c>
      <c r="BS26" s="12">
        <v>924.0</v>
      </c>
      <c r="BT26" s="12">
        <v>933.0</v>
      </c>
      <c r="BU26" s="12">
        <v>915.0</v>
      </c>
      <c r="BV26" s="12">
        <v>904.0</v>
      </c>
      <c r="BW26" s="12">
        <v>835.0</v>
      </c>
      <c r="BX26" s="12">
        <v>400.0</v>
      </c>
      <c r="BY26" s="12"/>
      <c r="BZ26" s="12"/>
      <c r="CA26" s="12"/>
      <c r="CB26" s="12"/>
      <c r="CC26" s="12"/>
      <c r="CD26" s="12"/>
      <c r="CE26" s="12"/>
    </row>
    <row r="27">
      <c r="A27" s="1" t="s">
        <v>87</v>
      </c>
      <c r="B27" s="24"/>
      <c r="F27" s="11"/>
      <c r="J27" s="24"/>
      <c r="O27" s="20">
        <v>377.0</v>
      </c>
      <c r="P27" s="20">
        <v>603.0</v>
      </c>
      <c r="Q27" s="20">
        <v>602.0</v>
      </c>
      <c r="R27" s="20">
        <v>598.0</v>
      </c>
      <c r="S27" s="20">
        <v>625.0</v>
      </c>
      <c r="T27" s="20">
        <v>616.0</v>
      </c>
      <c r="U27" s="20">
        <v>616.0</v>
      </c>
      <c r="V27" s="20">
        <v>628.0</v>
      </c>
      <c r="W27" s="20">
        <v>607.0</v>
      </c>
      <c r="X27" s="20">
        <v>619.0</v>
      </c>
      <c r="Y27" s="20">
        <v>606.0</v>
      </c>
      <c r="Z27" s="20">
        <v>617.0</v>
      </c>
      <c r="AA27" s="20">
        <v>615.0</v>
      </c>
      <c r="AB27" s="20">
        <v>589.0</v>
      </c>
      <c r="AC27" s="20">
        <v>588.0</v>
      </c>
      <c r="AD27" s="20">
        <v>591.0</v>
      </c>
      <c r="AE27" s="20">
        <v>602.0</v>
      </c>
      <c r="AF27" s="20">
        <v>601.0</v>
      </c>
      <c r="AG27" s="20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20">
        <v>91.0</v>
      </c>
      <c r="P28" s="20">
        <v>99.0</v>
      </c>
      <c r="Q28" s="20">
        <v>101.0</v>
      </c>
      <c r="R28" s="20">
        <v>99.0</v>
      </c>
      <c r="S28" s="20">
        <v>99.0</v>
      </c>
      <c r="T28" s="20">
        <v>98.0</v>
      </c>
      <c r="U28" s="20">
        <v>99.0</v>
      </c>
      <c r="V28" s="20">
        <v>99.0</v>
      </c>
      <c r="W28" s="20">
        <v>99.0</v>
      </c>
      <c r="X28" s="20">
        <v>98.0</v>
      </c>
      <c r="Y28" s="20">
        <v>94.0</v>
      </c>
      <c r="Z28" s="20">
        <v>93.0</v>
      </c>
      <c r="AA28" s="20">
        <v>95.0</v>
      </c>
      <c r="AB28" s="20">
        <v>93.0</v>
      </c>
      <c r="AC28" s="20">
        <v>98.0</v>
      </c>
      <c r="AD28" s="20">
        <v>95.0</v>
      </c>
      <c r="AE28" s="20">
        <v>98.0</v>
      </c>
      <c r="AF28" s="20">
        <v>99.0</v>
      </c>
      <c r="AG28" s="20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6"/>
      <c r="F29" s="11"/>
      <c r="J29" s="24"/>
      <c r="O29" s="20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6"/>
      <c r="F31" s="11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20">
        <v>50.0</v>
      </c>
      <c r="O32" s="20">
        <v>50.0</v>
      </c>
      <c r="P32" s="20">
        <v>50.0</v>
      </c>
      <c r="Q32" s="20">
        <v>49.0</v>
      </c>
      <c r="R32" s="20">
        <v>51.0</v>
      </c>
      <c r="S32" s="20">
        <v>50.0</v>
      </c>
      <c r="T32" s="20">
        <v>47.0</v>
      </c>
      <c r="U32" s="20">
        <v>50.0</v>
      </c>
      <c r="V32" s="20">
        <v>50.0</v>
      </c>
      <c r="W32" s="20">
        <v>50.0</v>
      </c>
      <c r="X32" s="20">
        <v>49.0</v>
      </c>
      <c r="Y32" s="20">
        <v>47.0</v>
      </c>
      <c r="Z32" s="20">
        <v>47.0</v>
      </c>
      <c r="AA32" s="20">
        <v>47.0</v>
      </c>
      <c r="AB32" s="20">
        <v>51.0</v>
      </c>
      <c r="AC32" s="20">
        <v>50.0</v>
      </c>
      <c r="AD32" s="20">
        <v>49.0</v>
      </c>
      <c r="AE32" s="20">
        <v>49.0</v>
      </c>
      <c r="AF32" s="20">
        <v>50.0</v>
      </c>
      <c r="AG32" s="20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20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20"/>
      <c r="Q35" s="20">
        <v>100.0</v>
      </c>
      <c r="R35" s="20">
        <v>650.0</v>
      </c>
      <c r="S35" s="20">
        <v>647.0</v>
      </c>
      <c r="T35" s="20">
        <v>881.0</v>
      </c>
      <c r="U35" s="20">
        <v>890.0</v>
      </c>
      <c r="V35" s="20">
        <v>895.0</v>
      </c>
      <c r="W35" s="20">
        <v>882.0</v>
      </c>
      <c r="X35" s="20">
        <v>1127.0</v>
      </c>
      <c r="Y35" s="20">
        <v>1127.0</v>
      </c>
      <c r="Z35" s="20">
        <v>1128.0</v>
      </c>
      <c r="AA35" s="20">
        <v>1135.0</v>
      </c>
      <c r="AB35" s="20">
        <v>1114.0</v>
      </c>
      <c r="AC35" s="20">
        <v>1132.0</v>
      </c>
      <c r="AD35" s="20">
        <v>1134.0</v>
      </c>
      <c r="AE35" s="20">
        <v>1126.0</v>
      </c>
      <c r="AF35" s="20">
        <v>1129.0</v>
      </c>
      <c r="AG35" s="20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97</v>
      </c>
      <c r="B36" s="24"/>
      <c r="J36" s="24"/>
      <c r="O36" s="20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99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108</v>
      </c>
      <c r="B38" s="24">
        <v>92.0</v>
      </c>
      <c r="C38" s="24">
        <v>90.0</v>
      </c>
      <c r="J38" s="24"/>
      <c r="O38" s="20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1" t="s">
        <v>109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110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3" t="s">
        <v>112</v>
      </c>
      <c r="BZ40" s="23">
        <v>54.0</v>
      </c>
      <c r="CA40" s="23"/>
      <c r="CB40" s="23"/>
      <c r="CC40" s="23"/>
      <c r="CD40" s="23"/>
      <c r="CE40" s="23"/>
    </row>
    <row r="41">
      <c r="A41" s="1" t="s">
        <v>113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115</v>
      </c>
      <c r="B42" s="24"/>
      <c r="O42" s="20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20">
        <v>881.0</v>
      </c>
      <c r="AD42" s="20">
        <v>877.0</v>
      </c>
      <c r="AE42" s="20">
        <v>880.0</v>
      </c>
      <c r="AF42" s="20">
        <v>879.0</v>
      </c>
      <c r="AG42" s="20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119</v>
      </c>
      <c r="B43" s="24"/>
      <c r="O43" s="20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122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20"/>
      <c r="Q44" s="36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6"/>
      <c r="Q45" s="36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1" t="s">
        <v>126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7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1" t="s">
        <v>129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6"/>
      <c r="Q48" s="36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6"/>
      <c r="Q49" s="20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6"/>
      <c r="Q50" s="20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6"/>
      <c r="Q51" s="20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6"/>
      <c r="Q52" s="20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6"/>
      <c r="Q53" s="20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6"/>
      <c r="Q54" s="20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6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6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20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20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20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20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20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20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20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20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20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20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20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20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20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20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20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6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71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1">
        <v>5413.0</v>
      </c>
      <c r="S2" s="9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73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1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126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50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34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71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25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29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2" t="s">
        <v>96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1" t="s">
        <v>98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100</v>
      </c>
      <c r="AZ2" s="1" t="s">
        <v>101</v>
      </c>
      <c r="BA2" s="1" t="s">
        <v>102</v>
      </c>
      <c r="BB2" s="1" t="s">
        <v>103</v>
      </c>
      <c r="BC2" s="1" t="s">
        <v>104</v>
      </c>
      <c r="BE2" s="1" t="s">
        <v>105</v>
      </c>
      <c r="BF2" s="1"/>
      <c r="BG2" s="1"/>
    </row>
    <row r="3">
      <c r="A3" s="1" t="s">
        <v>106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107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47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20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20">
        <v>3.0</v>
      </c>
      <c r="K6" s="20">
        <v>5.0</v>
      </c>
      <c r="L6" s="20">
        <v>6.0</v>
      </c>
      <c r="M6" s="20">
        <v>10.0</v>
      </c>
      <c r="N6" s="20">
        <v>9.0</v>
      </c>
      <c r="O6" s="20">
        <v>3.0</v>
      </c>
      <c r="P6" s="20">
        <v>18.0</v>
      </c>
      <c r="Q6" s="20">
        <v>7.0</v>
      </c>
      <c r="R6" s="20">
        <v>17.0</v>
      </c>
      <c r="S6" s="20">
        <v>7.0</v>
      </c>
      <c r="T6" s="20">
        <v>5.0</v>
      </c>
      <c r="U6" s="20">
        <v>5.0</v>
      </c>
      <c r="V6" s="20">
        <v>7.0</v>
      </c>
      <c r="W6" s="20">
        <v>3.0</v>
      </c>
      <c r="X6" s="20">
        <v>3.0</v>
      </c>
      <c r="Y6" s="20">
        <v>6.0</v>
      </c>
      <c r="Z6" s="20">
        <v>7.0</v>
      </c>
      <c r="AA6" s="20">
        <v>13.0</v>
      </c>
      <c r="AB6" s="20">
        <v>9.0</v>
      </c>
      <c r="AC6" s="20">
        <v>0.0</v>
      </c>
      <c r="AD6" s="20">
        <v>2.0</v>
      </c>
      <c r="AE6" s="20">
        <v>5.0</v>
      </c>
      <c r="AF6" s="20">
        <v>13.0</v>
      </c>
      <c r="AG6" s="20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24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54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111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31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114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58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116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117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118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120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121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123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124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125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6">
        <v>5.0</v>
      </c>
      <c r="I21" s="24">
        <v>0.0</v>
      </c>
      <c r="J21" s="36">
        <v>2.0</v>
      </c>
      <c r="K21" s="36">
        <v>6.0</v>
      </c>
      <c r="L21" s="24">
        <v>0.0</v>
      </c>
      <c r="M21" s="36">
        <v>10.0</v>
      </c>
      <c r="N21" s="20">
        <v>18.0</v>
      </c>
      <c r="O21" s="20">
        <v>4.0</v>
      </c>
      <c r="P21" s="20">
        <v>12.0</v>
      </c>
      <c r="Q21" s="20">
        <v>15.0</v>
      </c>
      <c r="R21" s="20">
        <v>2.0</v>
      </c>
      <c r="S21" s="20">
        <v>5.0</v>
      </c>
      <c r="T21" s="20">
        <v>4.0</v>
      </c>
      <c r="U21" s="20">
        <v>13.0</v>
      </c>
      <c r="V21" s="20">
        <v>6.0</v>
      </c>
      <c r="W21" s="20">
        <v>2.0</v>
      </c>
      <c r="X21" s="20">
        <v>3.0</v>
      </c>
      <c r="Y21" s="20">
        <v>9.0</v>
      </c>
      <c r="Z21" s="20">
        <v>2.0</v>
      </c>
      <c r="AA21" s="20">
        <v>1.0</v>
      </c>
      <c r="AB21" s="20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127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1"/>
      <c r="F23" s="11"/>
      <c r="I23" s="11"/>
      <c r="L23" s="28"/>
      <c r="M23" s="20"/>
      <c r="P23" s="11"/>
      <c r="Q23" s="20"/>
      <c r="R23" s="25"/>
      <c r="S23" s="28"/>
      <c r="Y23" s="20"/>
      <c r="Z23" s="44"/>
      <c r="AA23" s="28"/>
      <c r="AW23" s="37" t="s">
        <v>128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1"/>
      <c r="F24" s="11"/>
      <c r="I24" s="11"/>
      <c r="L24" s="28"/>
      <c r="M24" s="20"/>
      <c r="P24" s="11"/>
      <c r="Q24" s="20"/>
      <c r="R24" s="25"/>
      <c r="S24" s="28"/>
      <c r="Y24" s="20"/>
      <c r="Z24" s="44"/>
      <c r="AA24" s="28"/>
    </row>
    <row r="25">
      <c r="B25" s="28"/>
      <c r="E25" s="11"/>
      <c r="F25" s="11"/>
      <c r="G25" s="28"/>
      <c r="H25" s="20"/>
      <c r="I25" s="11"/>
      <c r="L25" s="28"/>
      <c r="M25" s="20"/>
      <c r="P25" s="11"/>
      <c r="Q25" s="20"/>
      <c r="R25" s="25"/>
      <c r="S25" s="28"/>
      <c r="Y25" s="20"/>
      <c r="Z25" s="44"/>
      <c r="AA25" s="28"/>
      <c r="AB25" s="20"/>
      <c r="AC25" s="25"/>
      <c r="AD25" s="28"/>
      <c r="AE25" s="20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1"/>
      <c r="E26" s="11"/>
      <c r="F26" s="11"/>
      <c r="G26" s="28"/>
      <c r="H26" s="20"/>
      <c r="I26" s="11"/>
      <c r="L26" s="28"/>
      <c r="M26" s="20"/>
      <c r="N26" s="28"/>
      <c r="O26" s="20"/>
      <c r="P26" s="11"/>
      <c r="Q26" s="20"/>
      <c r="R26" s="25"/>
      <c r="S26" s="28"/>
      <c r="AB26" s="44"/>
      <c r="AC26" s="28"/>
      <c r="AD26" s="45"/>
      <c r="AE26" s="20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1"/>
      <c r="F27" s="11"/>
      <c r="G27" s="28"/>
      <c r="H27" s="20"/>
      <c r="I27" s="11"/>
      <c r="L27" s="28"/>
      <c r="M27" s="20"/>
      <c r="N27" s="28"/>
      <c r="O27" s="20"/>
      <c r="P27" s="11"/>
      <c r="Q27" s="20"/>
      <c r="R27" s="44"/>
      <c r="S27" s="28"/>
      <c r="X27" s="11"/>
      <c r="AA27" s="11"/>
      <c r="AB27" s="44"/>
      <c r="AC27" s="25"/>
      <c r="AD27" s="25"/>
    </row>
    <row r="28">
      <c r="B28" s="28"/>
      <c r="E28" s="11"/>
      <c r="F28" s="11"/>
      <c r="G28" s="28"/>
      <c r="H28" s="20"/>
      <c r="L28" s="28"/>
      <c r="M28" s="20"/>
      <c r="N28" s="28"/>
      <c r="O28" s="20"/>
      <c r="P28" s="11"/>
      <c r="Q28" s="20"/>
      <c r="R28" s="44"/>
      <c r="S28" s="28"/>
      <c r="X28" s="11"/>
      <c r="AA28" s="11"/>
      <c r="AB28" s="20"/>
      <c r="AC28" s="25"/>
      <c r="AD28" s="25"/>
    </row>
    <row r="29">
      <c r="B29" s="11"/>
      <c r="C29" s="24"/>
      <c r="E29" s="11"/>
      <c r="F29" s="11"/>
      <c r="G29" s="28"/>
      <c r="H29" s="20"/>
      <c r="L29" s="28"/>
      <c r="M29" s="20"/>
      <c r="N29" s="28"/>
      <c r="O29" s="20"/>
      <c r="P29" s="11"/>
      <c r="Q29" s="20"/>
      <c r="R29" s="44"/>
      <c r="S29" s="28"/>
      <c r="X29" s="11"/>
      <c r="AA29" s="11"/>
      <c r="AC29" s="28"/>
      <c r="AD29" s="20"/>
    </row>
    <row r="30">
      <c r="B30" s="11"/>
      <c r="C30" s="24"/>
      <c r="E30" s="11"/>
      <c r="F30" s="11"/>
      <c r="G30" s="28"/>
      <c r="H30" s="20"/>
      <c r="N30" s="28"/>
      <c r="O30" s="20"/>
      <c r="P30" s="11"/>
      <c r="X30" s="11"/>
      <c r="AA30" s="11"/>
      <c r="AC30" s="28"/>
      <c r="AD30" s="20"/>
    </row>
    <row r="31">
      <c r="B31" s="11"/>
      <c r="C31" s="24"/>
      <c r="E31" s="11"/>
      <c r="F31" s="11"/>
      <c r="G31" s="28"/>
      <c r="H31" s="20"/>
      <c r="N31" s="28"/>
      <c r="O31" s="20"/>
      <c r="P31" s="11"/>
      <c r="X31" s="11"/>
      <c r="AA31" s="11"/>
      <c r="AC31" s="25"/>
      <c r="AD31" s="44"/>
    </row>
    <row r="32">
      <c r="B32" s="11"/>
      <c r="C32" s="24"/>
      <c r="E32" s="11"/>
      <c r="F32" s="11"/>
      <c r="G32" s="28"/>
      <c r="H32" s="20"/>
      <c r="N32" s="28"/>
      <c r="O32" s="20"/>
      <c r="P32" s="11"/>
      <c r="X32" s="11"/>
      <c r="AA32" s="11"/>
      <c r="AC32" s="28"/>
      <c r="AD32" s="20"/>
    </row>
    <row r="33">
      <c r="B33" s="11"/>
      <c r="C33" s="24"/>
      <c r="E33" s="11"/>
      <c r="F33" s="11"/>
      <c r="G33" s="28"/>
      <c r="H33" s="20"/>
      <c r="N33" s="28"/>
      <c r="O33" s="20"/>
      <c r="X33" s="11"/>
      <c r="AA33" s="11"/>
      <c r="AC33" s="28"/>
      <c r="AD33" s="20"/>
    </row>
    <row r="34">
      <c r="E34" s="11"/>
      <c r="F34" s="11"/>
      <c r="G34" s="28"/>
      <c r="H34" s="20"/>
      <c r="N34" s="28"/>
      <c r="O34" s="20"/>
      <c r="X34" s="11"/>
      <c r="AA34" s="11"/>
      <c r="AC34" s="28"/>
      <c r="AD34" s="20"/>
    </row>
    <row r="35">
      <c r="B35" s="11"/>
      <c r="C35" s="24"/>
      <c r="E35" s="11"/>
      <c r="F35" s="11"/>
      <c r="G35" s="28"/>
      <c r="H35" s="20"/>
      <c r="N35" s="28"/>
      <c r="O35" s="20"/>
      <c r="X35" s="11"/>
      <c r="AA35" s="11"/>
      <c r="AC35" s="28"/>
      <c r="AD35" s="20"/>
    </row>
    <row r="36">
      <c r="B36" s="11"/>
      <c r="C36" s="24"/>
      <c r="E36" s="11"/>
      <c r="F36" s="11"/>
      <c r="G36" s="28"/>
      <c r="H36" s="20"/>
      <c r="N36" s="28"/>
      <c r="O36" s="20"/>
      <c r="X36" s="11"/>
      <c r="AA36" s="11"/>
      <c r="AC36" s="28"/>
      <c r="AD36" s="20"/>
    </row>
    <row r="37">
      <c r="B37" s="11"/>
      <c r="C37" s="24"/>
      <c r="E37" s="11"/>
      <c r="F37" s="11"/>
      <c r="G37" s="28"/>
      <c r="H37" s="20"/>
      <c r="N37" s="28"/>
      <c r="O37" s="20"/>
      <c r="X37" s="11"/>
      <c r="AA37" s="11"/>
    </row>
    <row r="38">
      <c r="B38" s="11"/>
      <c r="C38" s="24"/>
      <c r="E38" s="11"/>
      <c r="F38" s="11"/>
      <c r="G38" s="28"/>
      <c r="H38" s="20"/>
      <c r="N38" s="28"/>
      <c r="O38" s="20"/>
      <c r="X38" s="11"/>
      <c r="AA38" s="11"/>
    </row>
    <row r="39">
      <c r="B39" s="11"/>
      <c r="C39" s="24"/>
      <c r="E39" s="11"/>
      <c r="F39" s="11"/>
      <c r="G39" s="28"/>
      <c r="H39" s="20"/>
      <c r="N39" s="28"/>
      <c r="O39" s="20"/>
      <c r="X39" s="11"/>
      <c r="AA39" s="11"/>
    </row>
    <row r="40">
      <c r="B40" s="11"/>
      <c r="C40" s="24"/>
      <c r="E40" s="11"/>
      <c r="F40" s="11"/>
      <c r="G40" s="28"/>
      <c r="H40" s="20"/>
      <c r="X40" s="11"/>
      <c r="AA40" s="11"/>
    </row>
    <row r="41">
      <c r="B41" s="11"/>
      <c r="C41" s="24"/>
      <c r="E41" s="11"/>
      <c r="G41" s="28"/>
      <c r="H41" s="20"/>
      <c r="X41" s="11"/>
      <c r="AA41" s="11"/>
    </row>
    <row r="42">
      <c r="B42" s="11"/>
      <c r="E42" s="11"/>
      <c r="G42" s="28"/>
      <c r="H42" s="20"/>
      <c r="X42" s="11"/>
      <c r="AA42" s="11"/>
    </row>
    <row r="43">
      <c r="B43" s="11"/>
      <c r="E43" s="11"/>
      <c r="G43" s="28"/>
      <c r="H43" s="20"/>
      <c r="X43" s="11"/>
      <c r="AA43" s="11"/>
    </row>
    <row r="44">
      <c r="B44" s="11"/>
      <c r="E44" s="11"/>
      <c r="G44" s="28"/>
      <c r="H44" s="20"/>
      <c r="X44" s="11"/>
      <c r="AA44" s="11"/>
    </row>
    <row r="45">
      <c r="B45" s="11"/>
      <c r="E45" s="11"/>
      <c r="G45" s="28"/>
      <c r="H45" s="20"/>
      <c r="X45" s="11"/>
      <c r="AA45" s="11"/>
    </row>
    <row r="46">
      <c r="B46" s="11"/>
      <c r="E46" s="11"/>
      <c r="G46" s="28"/>
      <c r="H46" s="20"/>
      <c r="X46" s="11"/>
      <c r="AA46" s="11"/>
    </row>
    <row r="47">
      <c r="B47" s="11"/>
      <c r="E47" s="11"/>
      <c r="X47" s="11"/>
      <c r="AA47" s="11"/>
    </row>
    <row r="48">
      <c r="B48" s="11"/>
      <c r="E48" s="11"/>
      <c r="X48" s="11"/>
      <c r="AA48" s="11"/>
    </row>
    <row r="49">
      <c r="B49" s="11"/>
      <c r="E49" s="11"/>
    </row>
    <row r="50">
      <c r="B50" s="11"/>
      <c r="E50" s="11"/>
    </row>
    <row r="51">
      <c r="B51" s="11"/>
      <c r="E51" s="11"/>
    </row>
    <row r="52">
      <c r="B52" s="11"/>
      <c r="E52" s="11"/>
    </row>
    <row r="53">
      <c r="B53" s="11"/>
      <c r="E53" s="11"/>
    </row>
    <row r="54">
      <c r="B54" s="11"/>
      <c r="E54" s="11"/>
    </row>
    <row r="55">
      <c r="B55" s="11"/>
      <c r="E55" s="11"/>
    </row>
  </sheetData>
  <drawing r:id="rId1"/>
</worksheet>
</file>