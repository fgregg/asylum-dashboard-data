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<sst xmlns="http://schemas.openxmlformats.org/spreadsheetml/2006/main" count="165" uniqueCount="141">
  <si>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</si>
  <si>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</si>
  <si>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</si>
  <si>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</si>
  <si>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Total New Arrivals to Date</t>
  </si>
  <si>
    <t>BUSES</t>
  </si>
  <si>
    <t>COUNTRY OF ORIGIN AT SHELTERS</t>
  </si>
  <si>
    <t>694 (interpolated)</t>
  </si>
  <si>
    <t>Buses Arrived in Last 7 Days at Landing Zone</t>
  </si>
  <si>
    <t>51643*</t>
  </si>
  <si>
    <t>Total Exits from Sheltering System (Individuals)</t>
  </si>
  <si>
    <t>Does not include State operated shelters</t>
  </si>
  <si>
    <t>Buses Arrived in Last 7 Days, not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</si>
  <si>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</si>
  <si>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</si>
  <si>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39409*</t>
  </si>
  <si>
    <t>INACTIVE DATA SETS</t>
  </si>
  <si>
    <t>Total New Arrivals Placed in Shelters by 311 to Date</t>
  </si>
  <si>
    <t>Venezuela</t>
  </si>
  <si>
    <t>3681*</t>
  </si>
  <si>
    <t>4731*</t>
  </si>
  <si>
    <t># OF PEOPLE</t>
  </si>
  <si>
    <t>Colombia</t>
  </si>
  <si>
    <t>60 Day Policy Exits in Last 7 Days</t>
  </si>
  <si>
    <t>138*</t>
  </si>
  <si>
    <t>60-Day Policy Exits Returned to Landing Zone in Last 7 Days</t>
  </si>
  <si>
    <t>USA</t>
  </si>
  <si>
    <t>STAGING AREA</t>
  </si>
  <si>
    <t>126*</t>
  </si>
  <si>
    <t>135*</t>
  </si>
  <si>
    <t>Landing Zone Arrivals via Texas Contracted Buses in Last 7 Days</t>
  </si>
  <si>
    <t>Ecuador</t>
  </si>
  <si>
    <t>27*</t>
  </si>
  <si>
    <t>Total Arrivals to Landing Zone in Last 7 Days</t>
  </si>
  <si>
    <t>Peru</t>
  </si>
  <si>
    <t>Landing Zone</t>
  </si>
  <si>
    <t>Haiti</t>
  </si>
  <si>
    <t>O'Hare Airport</t>
  </si>
  <si>
    <t>Angola</t>
  </si>
  <si>
    <t>Single Men</t>
  </si>
  <si>
    <t>Honduras</t>
  </si>
  <si>
    <t>Midway Airport</t>
  </si>
  <si>
    <t>Single Women</t>
  </si>
  <si>
    <t>Other</t>
  </si>
  <si>
    <t>Bolivia</t>
  </si>
  <si>
    <t>Police Districts (All)</t>
  </si>
  <si>
    <t xml:space="preserve">Families (individuals in a family unit) </t>
  </si>
  <si>
    <t>Brazil</t>
  </si>
  <si>
    <t>Chile</t>
  </si>
  <si>
    <t>STAGING AREA TOTAL</t>
  </si>
  <si>
    <t>Cuba</t>
  </si>
  <si>
    <t>New Arrivals Placed in Shelters from Landing Zone in Last 7 Days</t>
  </si>
  <si>
    <t>Dominican Republic</t>
  </si>
  <si>
    <t>El Salvador</t>
  </si>
  <si>
    <t>Guatemala</t>
  </si>
  <si>
    <t>Landing Zone Arrivals as Walk-ins in Last 7 Days</t>
  </si>
  <si>
    <t>Mauritania</t>
  </si>
  <si>
    <t>New Arrivals Placed in Shelters Last 7 Days</t>
  </si>
  <si>
    <t>Minors Currently in Staging Area</t>
  </si>
  <si>
    <t>Mexico</t>
  </si>
  <si>
    <t>Individuals via non Texas-Contracted Bus</t>
  </si>
  <si>
    <t>Indviduals via non Texas-Contracted Bus with Personal Movement Plans</t>
  </si>
  <si>
    <t>Morocco</t>
  </si>
  <si>
    <t>Individuals Arrived Via Texas Contracted Buses with Personal Movement Plans</t>
  </si>
  <si>
    <t>Nicaragua</t>
  </si>
  <si>
    <t>Russia</t>
  </si>
  <si>
    <t>SHELTER</t>
  </si>
  <si>
    <t>Sudan</t>
  </si>
  <si>
    <t>Unknown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</si>
  <si>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</si>
  <si>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</si>
  <si>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</si>
  <si>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</si>
  <si>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</si>
  <si>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</si>
  <si>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</si>
  <si>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</si>
  <si>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</si>
  <si>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</si>
  <si>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</si>
  <si>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Total Shelter Residents</t>
  </si>
  <si>
    <t>Elston</t>
  </si>
  <si>
    <t>Gage Park</t>
  </si>
  <si>
    <t>Total Awaiting Placement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</si>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</sst>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yyyy&quot;-&quot;mm&quot;-&quot;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on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7" numFmtId="0" xfId="0" applyAlignment="1" applyFont="1">
      <alignment horizontal="right" vertical="bottom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7" numFmtId="167" xfId="0" applyAlignment="1" applyFont="1" applyNumberFormat="1">
      <alignment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5" xfId="0" applyAlignment="1" applyFont="1" applyNumberFormat="1">
      <alignment readingOrder="0"/>
    </xf>
    <xf borderId="0" fillId="0" fontId="9" numFmtId="165" xfId="0" applyFont="1" applyNumberFormat="1"/>
    <xf borderId="0" fillId="0" fontId="4" numFmtId="164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78850742"/>
        <c:axId val="150276617"/>
      </c:areaChart>
      <c:catAx>
        <c:axId val="1078850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276617"/>
      </c:catAx>
      <c:valAx>
        <c:axId val="1502766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885074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0456487"/>
        <c:axId val="516607792"/>
      </c:barChart>
      <c:catAx>
        <c:axId val="160456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607792"/>
      </c:catAx>
      <c:valAx>
        <c:axId val="5166077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4564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00060860"/>
        <c:axId val="1155802274"/>
      </c:barChart>
      <c:catAx>
        <c:axId val="700060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5802274"/>
      </c:catAx>
      <c:valAx>
        <c:axId val="11558022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0060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103201325"/>
        <c:axId val="1725700949"/>
      </c:lineChart>
      <c:catAx>
        <c:axId val="21032013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5700949"/>
      </c:catAx>
      <c:valAx>
        <c:axId val="172570094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2013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36977485"/>
        <c:axId val="1526829118"/>
      </c:lineChart>
      <c:catAx>
        <c:axId val="19369774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6829118"/>
      </c:catAx>
      <c:valAx>
        <c:axId val="1526829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69774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41943014"/>
        <c:axId val="96209974"/>
      </c:barChart>
      <c:catAx>
        <c:axId val="7419430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209974"/>
      </c:catAx>
      <c:valAx>
        <c:axId val="962099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19430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7" t="s">
        <v>7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10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10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10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10">
        <v>923.0</v>
      </c>
      <c r="C79" s="1">
        <v>923.0</v>
      </c>
    </row>
    <row r="80">
      <c r="A80" s="3">
        <v>45451.0</v>
      </c>
      <c r="B80" s="10">
        <v>943.0</v>
      </c>
    </row>
    <row r="81">
      <c r="A81" s="3">
        <v>45452.0</v>
      </c>
      <c r="B81" s="10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15" t="s">
        <v>13</v>
      </c>
    </row>
    <row r="92">
      <c r="B92" s="16" t="s">
        <v>14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11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11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11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11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7" t="s">
        <v>19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2" t="s">
        <v>9</v>
      </c>
      <c r="CC2" s="12">
        <v>51644.0</v>
      </c>
      <c r="CD2" s="12">
        <v>51649.0</v>
      </c>
      <c r="CE2" s="12">
        <v>51779.0</v>
      </c>
    </row>
    <row r="3">
      <c r="A3" s="1" t="s">
        <v>10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3"/>
    </row>
    <row r="5">
      <c r="A5" s="1" t="s">
        <v>16</v>
      </c>
      <c r="D5" s="13"/>
    </row>
    <row r="6">
      <c r="A6" s="1" t="s">
        <v>17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4">
        <v>45317.0</v>
      </c>
      <c r="AJ1" s="4">
        <v>45324.0</v>
      </c>
      <c r="AK1" s="4">
        <v>45331.0</v>
      </c>
      <c r="AL1" s="4">
        <v>45338.0</v>
      </c>
      <c r="AM1" s="4">
        <v>45345.0</v>
      </c>
      <c r="AN1" s="4">
        <v>45352.0</v>
      </c>
      <c r="AO1" s="4">
        <v>45359.0</v>
      </c>
      <c r="AP1" s="4">
        <v>45366.0</v>
      </c>
      <c r="AQ1" s="4">
        <v>45373.0</v>
      </c>
      <c r="AR1" s="4">
        <v>45380.0</v>
      </c>
      <c r="AS1" s="4">
        <v>45387.0</v>
      </c>
      <c r="AT1" s="4">
        <v>45394.0</v>
      </c>
      <c r="AU1" s="4">
        <v>45401.0</v>
      </c>
      <c r="AV1" s="4">
        <v>45408.0</v>
      </c>
      <c r="AW1" s="4">
        <v>45415.0</v>
      </c>
      <c r="AX1" s="4">
        <v>45422.0</v>
      </c>
      <c r="AY1" s="4">
        <v>45429.0</v>
      </c>
      <c r="AZ1" s="4">
        <v>45436.0</v>
      </c>
      <c r="BA1" s="4">
        <v>45443.0</v>
      </c>
      <c r="BB1" s="4">
        <v>45450.0</v>
      </c>
      <c r="BC1" s="4">
        <v>45457.0</v>
      </c>
      <c r="BD1" s="4">
        <v>45464.0</v>
      </c>
      <c r="BE1" s="4">
        <v>45471.0</v>
      </c>
      <c r="BF1" s="4">
        <v>45478.0</v>
      </c>
      <c r="BG1" s="4">
        <v>45485.0</v>
      </c>
      <c r="BH1" s="4">
        <v>45492.0</v>
      </c>
      <c r="BI1" s="4">
        <v>45499.0</v>
      </c>
      <c r="BJ1" s="4">
        <v>45506.0</v>
      </c>
      <c r="BK1" s="4">
        <v>45513.0</v>
      </c>
      <c r="BL1" s="4">
        <v>45520.0</v>
      </c>
      <c r="BM1" s="4">
        <v>45527.0</v>
      </c>
      <c r="BN1" s="4">
        <v>45534.0</v>
      </c>
      <c r="BO1" s="4">
        <v>45541.0</v>
      </c>
      <c r="BP1" s="4">
        <v>45548.0</v>
      </c>
      <c r="BQ1" s="4">
        <v>45555.0</v>
      </c>
      <c r="BR1" s="4">
        <v>45562.0</v>
      </c>
      <c r="BS1" s="4">
        <v>45569.0</v>
      </c>
      <c r="BT1" s="4">
        <v>45576.0</v>
      </c>
      <c r="BU1" s="4">
        <v>45583.0</v>
      </c>
      <c r="BV1" s="4">
        <v>45590.0</v>
      </c>
      <c r="BW1" s="4">
        <v>45597.0</v>
      </c>
      <c r="BX1" s="4">
        <v>45604.0</v>
      </c>
      <c r="BY1" s="4">
        <v>45611.0</v>
      </c>
      <c r="BZ1" s="4">
        <v>45618.0</v>
      </c>
      <c r="CA1" s="4">
        <v>45625.0</v>
      </c>
      <c r="CB1" s="4">
        <v>45632.0</v>
      </c>
      <c r="CC1" s="4">
        <v>45639.0</v>
      </c>
      <c r="CD1" s="4">
        <v>45646.0</v>
      </c>
      <c r="CE1" s="4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7">
        <v>0.0</v>
      </c>
      <c r="BU3" s="7">
        <v>0.0</v>
      </c>
      <c r="BV3" s="7">
        <v>0.0</v>
      </c>
      <c r="BW3" s="7">
        <v>0.0</v>
      </c>
      <c r="BX3" s="7">
        <v>0.0</v>
      </c>
      <c r="BY3" s="7">
        <v>0.0</v>
      </c>
      <c r="BZ3" s="7">
        <v>0.0</v>
      </c>
      <c r="CA3" s="7">
        <v>0.0</v>
      </c>
      <c r="CB3" s="7">
        <v>0.0</v>
      </c>
      <c r="CC3" s="7">
        <v>0.0</v>
      </c>
      <c r="CD3" s="7">
        <v>0.0</v>
      </c>
      <c r="CE3" s="7">
        <v>0.0</v>
      </c>
    </row>
    <row r="4">
      <c r="A4" s="1" t="s">
        <v>12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21</v>
      </c>
      <c r="C6" s="17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7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7" t="s">
        <v>24</v>
      </c>
      <c r="CC7" s="7" t="s">
        <v>24</v>
      </c>
      <c r="CD7" s="7">
        <v>166.0</v>
      </c>
      <c r="CE7" s="7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7" t="s">
        <v>28</v>
      </c>
      <c r="CC8" s="7" t="s">
        <v>28</v>
      </c>
      <c r="CD8" s="7">
        <v>135.0</v>
      </c>
      <c r="CE8" s="7" t="s">
        <v>29</v>
      </c>
    </row>
    <row r="9">
      <c r="A9" s="1" t="s">
        <v>30</v>
      </c>
      <c r="C9" s="17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33</v>
      </c>
      <c r="C10" s="17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42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46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51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16</v>
      </c>
      <c r="C18" s="24"/>
    </row>
    <row r="19">
      <c r="A19" s="1" t="s">
        <v>55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57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60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63</v>
      </c>
      <c r="C23" s="17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  <c r="BH1" s="4">
        <v>45499.0</v>
      </c>
      <c r="BI1" s="4">
        <v>45506.0</v>
      </c>
      <c r="BJ1" s="4">
        <v>45513.0</v>
      </c>
      <c r="BK1" s="4">
        <v>45520.0</v>
      </c>
      <c r="BL1" s="4">
        <v>45527.0</v>
      </c>
      <c r="BM1" s="4">
        <v>45534.0</v>
      </c>
      <c r="BN1" s="4">
        <v>45541.0</v>
      </c>
      <c r="BO1" s="4">
        <v>45548.0</v>
      </c>
      <c r="BP1" s="4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9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8" t="s">
        <v>20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26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31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2" t="s">
        <v>32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34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36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38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40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43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44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47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48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50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52</v>
      </c>
      <c r="B17" s="1">
        <v>10.0</v>
      </c>
      <c r="C17" s="1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53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54</v>
      </c>
      <c r="D19" s="13"/>
      <c r="Q19" s="1">
        <v>10.0</v>
      </c>
      <c r="R19" s="1">
        <v>10.0</v>
      </c>
      <c r="S19" s="1">
        <v>10.0</v>
      </c>
      <c r="T19" s="17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56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59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64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65</v>
      </c>
      <c r="B24" s="1">
        <v>11.0</v>
      </c>
      <c r="C24" s="1">
        <v>11.0</v>
      </c>
      <c r="D24" s="13"/>
      <c r="E24" s="13"/>
      <c r="F24" s="13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24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68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7">
        <v>2215.0</v>
      </c>
      <c r="S26" s="17">
        <v>2215.0</v>
      </c>
      <c r="T26" s="17">
        <v>2216.0</v>
      </c>
      <c r="U26" s="17">
        <v>2325.0</v>
      </c>
      <c r="V26" s="17">
        <v>2432.0</v>
      </c>
      <c r="W26" s="17">
        <v>2569.0</v>
      </c>
      <c r="X26" s="17">
        <v>2490.0</v>
      </c>
      <c r="Y26" s="17">
        <v>2444.0</v>
      </c>
      <c r="Z26" s="17">
        <v>2693.0</v>
      </c>
      <c r="AA26" s="17">
        <v>2819.0</v>
      </c>
      <c r="AB26" s="17">
        <v>3052.0</v>
      </c>
      <c r="AC26" s="17">
        <v>3360.0</v>
      </c>
      <c r="AD26" s="17">
        <v>3603.0</v>
      </c>
      <c r="AE26" s="17">
        <v>3316.0</v>
      </c>
      <c r="AF26" s="17">
        <v>2727.0</v>
      </c>
      <c r="AG26" s="17">
        <v>2568.0</v>
      </c>
      <c r="AH26" s="24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4"/>
      <c r="E27" s="13"/>
      <c r="F27" s="13"/>
      <c r="J27" s="13"/>
      <c r="T27" s="35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3"/>
      <c r="E28" s="13"/>
      <c r="F28" s="13"/>
      <c r="J28" s="13"/>
      <c r="T28" s="35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3"/>
      <c r="F29" s="13"/>
      <c r="J29" s="13"/>
      <c r="T29" s="35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3"/>
      <c r="F30" s="13"/>
      <c r="J30" s="13"/>
      <c r="T30" s="13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3"/>
      <c r="F31" s="13"/>
      <c r="J31" s="13"/>
      <c r="T31" s="13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3"/>
      <c r="F32" s="13"/>
      <c r="J32" s="13"/>
      <c r="T32" s="13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3"/>
      <c r="F33" s="13"/>
      <c r="J33" s="13"/>
      <c r="T33" s="13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3"/>
      <c r="F34" s="13"/>
      <c r="J34" s="13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3"/>
      <c r="F35" s="13"/>
      <c r="J35" s="13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3"/>
      <c r="F36" s="13"/>
      <c r="J36" s="13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3"/>
      <c r="F37" s="13"/>
      <c r="J37" s="13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3"/>
      <c r="J38" s="13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3"/>
      <c r="J39" s="13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3"/>
      <c r="J40" s="13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3"/>
      <c r="J41" s="13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3"/>
      <c r="J42" s="13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3"/>
      <c r="J43" s="13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3"/>
      <c r="J44" s="13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3"/>
      <c r="J45" s="13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3"/>
      <c r="J46" s="13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3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3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3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3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3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3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3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3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3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3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3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27</v>
      </c>
      <c r="B1" s="4">
        <v>45086.0</v>
      </c>
      <c r="C1" s="4">
        <v>45093.0</v>
      </c>
      <c r="D1" s="4">
        <v>45100.0</v>
      </c>
      <c r="E1" s="4">
        <v>45107.0</v>
      </c>
      <c r="F1" s="4">
        <v>45114.0</v>
      </c>
      <c r="G1" s="4">
        <v>45121.0</v>
      </c>
      <c r="H1" s="4">
        <v>45128.0</v>
      </c>
      <c r="I1" s="4">
        <v>45135.0</v>
      </c>
      <c r="J1" s="4">
        <v>45142.0</v>
      </c>
      <c r="K1" s="4">
        <v>45149.0</v>
      </c>
      <c r="L1" s="4">
        <v>45156.0</v>
      </c>
      <c r="M1" s="4">
        <v>45163.0</v>
      </c>
      <c r="N1" s="4">
        <v>45170.0</v>
      </c>
      <c r="O1" s="4">
        <v>45177.0</v>
      </c>
      <c r="P1" s="4">
        <v>45184.0</v>
      </c>
      <c r="Q1" s="4">
        <v>45191.0</v>
      </c>
      <c r="R1" s="4">
        <v>45198.0</v>
      </c>
      <c r="S1" s="4">
        <v>45205.0</v>
      </c>
      <c r="T1" s="4">
        <v>45212.0</v>
      </c>
      <c r="U1" s="4">
        <v>45219.0</v>
      </c>
      <c r="V1" s="4">
        <v>45226.0</v>
      </c>
      <c r="W1" s="4">
        <v>45233.0</v>
      </c>
      <c r="X1" s="4">
        <v>45240.0</v>
      </c>
      <c r="Y1" s="4">
        <v>45247.0</v>
      </c>
      <c r="Z1" s="4">
        <v>45254.0</v>
      </c>
      <c r="AA1" s="4">
        <v>45261.0</v>
      </c>
      <c r="AB1" s="4">
        <v>45268.0</v>
      </c>
      <c r="AC1" s="4">
        <v>45275.0</v>
      </c>
      <c r="AD1" s="4">
        <v>45282.0</v>
      </c>
      <c r="AE1" s="4">
        <v>45289.0</v>
      </c>
      <c r="AF1" s="4">
        <v>45296.0</v>
      </c>
      <c r="AG1" s="4">
        <v>45303.0</v>
      </c>
      <c r="AH1" s="4">
        <v>45310.0</v>
      </c>
      <c r="AI1" s="3">
        <v>45317.0</v>
      </c>
      <c r="AJ1" s="3">
        <v>45324.0</v>
      </c>
      <c r="AK1" s="3">
        <v>45331.0</v>
      </c>
      <c r="AL1" s="21">
        <v>45338.0</v>
      </c>
      <c r="AM1" s="21">
        <v>45345.0</v>
      </c>
      <c r="AN1" s="21">
        <v>45352.0</v>
      </c>
      <c r="AO1" s="21">
        <v>45359.0</v>
      </c>
      <c r="AP1" s="21">
        <v>45366.0</v>
      </c>
      <c r="AQ1" s="21">
        <v>45373.0</v>
      </c>
      <c r="AR1" s="21">
        <v>45380.0</v>
      </c>
      <c r="AS1" s="21">
        <v>45387.0</v>
      </c>
      <c r="AT1" s="21">
        <v>45394.0</v>
      </c>
      <c r="AU1" s="21">
        <v>45401.0</v>
      </c>
      <c r="AV1" s="21">
        <v>45408.0</v>
      </c>
      <c r="AW1" s="21">
        <v>45415.0</v>
      </c>
      <c r="AX1" s="21">
        <v>45422.0</v>
      </c>
      <c r="AY1" s="21">
        <v>45429.0</v>
      </c>
      <c r="AZ1" s="21">
        <v>45436.0</v>
      </c>
      <c r="BA1" s="21">
        <v>45443.0</v>
      </c>
      <c r="BB1" s="21">
        <v>45450.0</v>
      </c>
      <c r="BC1" s="21">
        <v>45457.0</v>
      </c>
      <c r="BD1" s="21">
        <v>45464.0</v>
      </c>
      <c r="BE1" s="21">
        <v>45471.0</v>
      </c>
      <c r="BF1" s="21">
        <v>45478.0</v>
      </c>
      <c r="BG1" s="21">
        <v>45485.0</v>
      </c>
      <c r="BH1" s="21">
        <v>45492.0</v>
      </c>
      <c r="BI1" s="21">
        <v>45499.0</v>
      </c>
      <c r="BJ1" s="21">
        <v>45506.0</v>
      </c>
      <c r="BK1" s="21">
        <v>45513.0</v>
      </c>
      <c r="BL1" s="21">
        <v>45520.0</v>
      </c>
      <c r="BM1" s="21">
        <v>45527.0</v>
      </c>
      <c r="BN1" s="21">
        <v>45534.0</v>
      </c>
      <c r="BO1" s="21">
        <v>45541.0</v>
      </c>
      <c r="BP1" s="21">
        <v>45548.0</v>
      </c>
      <c r="BQ1" s="21">
        <v>45555.0</v>
      </c>
      <c r="BR1" s="21">
        <v>45562.0</v>
      </c>
      <c r="BS1" s="21">
        <v>45569.0</v>
      </c>
      <c r="BT1" s="21">
        <v>45576.0</v>
      </c>
      <c r="BU1" s="21">
        <v>45583.0</v>
      </c>
      <c r="BV1" s="21">
        <v>45590.0</v>
      </c>
      <c r="BW1" s="21">
        <v>45597.0</v>
      </c>
      <c r="BX1" s="21">
        <v>45604.0</v>
      </c>
      <c r="BY1" s="21">
        <v>45611.0</v>
      </c>
      <c r="BZ1" s="21">
        <v>45618.0</v>
      </c>
      <c r="CA1" s="21">
        <v>45625.0</v>
      </c>
      <c r="CB1" s="21">
        <v>45632.0</v>
      </c>
      <c r="CC1" s="21">
        <v>45639.0</v>
      </c>
      <c r="CD1" s="21">
        <v>45646.0</v>
      </c>
      <c r="CE1" s="21">
        <v>45660.0</v>
      </c>
    </row>
    <row r="2">
      <c r="A2" s="1" t="s">
        <v>35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37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41</v>
      </c>
      <c r="B4" s="24"/>
      <c r="F4" s="13"/>
      <c r="H4" s="17">
        <v>3.0</v>
      </c>
      <c r="I4" s="17">
        <v>0.0</v>
      </c>
      <c r="J4" s="17">
        <v>0.0</v>
      </c>
      <c r="K4" s="17">
        <v>0.0</v>
      </c>
      <c r="L4" s="17">
        <v>8.0</v>
      </c>
      <c r="M4" s="17">
        <v>0.0</v>
      </c>
      <c r="N4" s="17">
        <v>0.0</v>
      </c>
      <c r="O4" s="17">
        <v>21.0</v>
      </c>
      <c r="P4" s="17">
        <v>0.0</v>
      </c>
      <c r="Q4" s="17">
        <v>8.0</v>
      </c>
      <c r="R4" s="17">
        <v>22.0</v>
      </c>
      <c r="S4" s="17">
        <v>28.0</v>
      </c>
      <c r="T4" s="17">
        <v>3.0</v>
      </c>
      <c r="U4" s="17">
        <v>10.0</v>
      </c>
      <c r="V4" s="17">
        <v>0.0</v>
      </c>
      <c r="W4" s="17">
        <v>1.0</v>
      </c>
      <c r="X4" s="17">
        <v>0.0</v>
      </c>
      <c r="Y4" s="17">
        <v>3.0</v>
      </c>
      <c r="Z4" s="17">
        <v>0.0</v>
      </c>
      <c r="AA4" s="17">
        <v>0.0</v>
      </c>
      <c r="AB4" s="17">
        <v>0.0</v>
      </c>
      <c r="AC4" s="17">
        <v>0.0</v>
      </c>
      <c r="AD4" s="17">
        <v>0.0</v>
      </c>
      <c r="AE4" s="17">
        <v>1.0</v>
      </c>
      <c r="AF4" s="17">
        <v>0.0</v>
      </c>
      <c r="AG4" s="17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45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49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58</v>
      </c>
      <c r="C7" s="17">
        <v>35.0</v>
      </c>
      <c r="D7" s="17">
        <v>73.0</v>
      </c>
      <c r="E7" s="17">
        <v>213.0</v>
      </c>
      <c r="F7" s="17">
        <v>220.0</v>
      </c>
      <c r="G7" s="17">
        <v>115.0</v>
      </c>
      <c r="H7" s="17">
        <v>290.0</v>
      </c>
      <c r="I7" s="17">
        <v>295.0</v>
      </c>
      <c r="J7" s="17">
        <v>257.0</v>
      </c>
      <c r="K7" s="17">
        <v>316.0</v>
      </c>
      <c r="L7" s="17">
        <v>316.0</v>
      </c>
      <c r="M7" s="17">
        <v>473.0</v>
      </c>
      <c r="N7" s="17">
        <v>705.0</v>
      </c>
      <c r="O7" s="17">
        <v>472.0</v>
      </c>
      <c r="P7" s="17">
        <v>705.0</v>
      </c>
      <c r="Q7" s="17">
        <v>646.0</v>
      </c>
      <c r="R7" s="17">
        <v>579.0</v>
      </c>
      <c r="S7" s="17">
        <v>737.0</v>
      </c>
      <c r="T7" s="17">
        <v>744.0</v>
      </c>
      <c r="U7" s="17">
        <v>886.0</v>
      </c>
      <c r="V7" s="17">
        <v>803.0</v>
      </c>
      <c r="W7" s="17">
        <v>731.0</v>
      </c>
      <c r="X7" s="17">
        <v>471.0</v>
      </c>
      <c r="Y7" s="17">
        <v>414.0</v>
      </c>
      <c r="Z7" s="17">
        <v>303.0</v>
      </c>
      <c r="AA7" s="17">
        <v>58.0</v>
      </c>
      <c r="AB7" s="17">
        <v>36.0</v>
      </c>
      <c r="AC7" s="17">
        <v>29.0</v>
      </c>
      <c r="AD7" s="17">
        <v>12.0</v>
      </c>
      <c r="AE7" s="17">
        <v>30.0</v>
      </c>
      <c r="AF7" s="17">
        <v>20.0</v>
      </c>
      <c r="AG7" s="17">
        <v>1.0</v>
      </c>
      <c r="AH7" s="17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66</v>
      </c>
      <c r="B9" s="4">
        <f t="shared" ref="B9:AI9" si="5">B1</f>
        <v>45086</v>
      </c>
      <c r="C9" s="4">
        <f t="shared" si="5"/>
        <v>45093</v>
      </c>
      <c r="D9" s="4">
        <f t="shared" si="5"/>
        <v>45100</v>
      </c>
      <c r="E9" s="4">
        <f t="shared" si="5"/>
        <v>45107</v>
      </c>
      <c r="F9" s="4">
        <f t="shared" si="5"/>
        <v>45114</v>
      </c>
      <c r="G9" s="4">
        <f t="shared" si="5"/>
        <v>45121</v>
      </c>
      <c r="H9" s="4">
        <f t="shared" si="5"/>
        <v>45128</v>
      </c>
      <c r="I9" s="4">
        <f t="shared" si="5"/>
        <v>45135</v>
      </c>
      <c r="J9" s="4">
        <f t="shared" si="5"/>
        <v>45142</v>
      </c>
      <c r="K9" s="4">
        <f t="shared" si="5"/>
        <v>45149</v>
      </c>
      <c r="L9" s="4">
        <f t="shared" si="5"/>
        <v>45156</v>
      </c>
      <c r="M9" s="4">
        <f t="shared" si="5"/>
        <v>45163</v>
      </c>
      <c r="N9" s="4">
        <f t="shared" si="5"/>
        <v>45170</v>
      </c>
      <c r="O9" s="4">
        <f t="shared" si="5"/>
        <v>45177</v>
      </c>
      <c r="P9" s="4">
        <f t="shared" si="5"/>
        <v>45184</v>
      </c>
      <c r="Q9" s="4">
        <f t="shared" si="5"/>
        <v>45191</v>
      </c>
      <c r="R9" s="4">
        <f t="shared" si="5"/>
        <v>45198</v>
      </c>
      <c r="S9" s="4">
        <f t="shared" si="5"/>
        <v>45205</v>
      </c>
      <c r="T9" s="4">
        <f t="shared" si="5"/>
        <v>45212</v>
      </c>
      <c r="U9" s="4">
        <f t="shared" si="5"/>
        <v>45219</v>
      </c>
      <c r="V9" s="4">
        <f t="shared" si="5"/>
        <v>45226</v>
      </c>
      <c r="W9" s="4">
        <f t="shared" si="5"/>
        <v>45233</v>
      </c>
      <c r="X9" s="4">
        <f t="shared" si="5"/>
        <v>45240</v>
      </c>
      <c r="Y9" s="4">
        <f t="shared" si="5"/>
        <v>45247</v>
      </c>
      <c r="Z9" s="4">
        <f t="shared" si="5"/>
        <v>45254</v>
      </c>
      <c r="AA9" s="4">
        <f t="shared" si="5"/>
        <v>45261</v>
      </c>
      <c r="AB9" s="4">
        <f t="shared" si="5"/>
        <v>45268</v>
      </c>
      <c r="AC9" s="4">
        <f t="shared" si="5"/>
        <v>45275</v>
      </c>
      <c r="AD9" s="4">
        <f t="shared" si="5"/>
        <v>45282</v>
      </c>
      <c r="AE9" s="4">
        <f t="shared" si="5"/>
        <v>45289</v>
      </c>
      <c r="AF9" s="4">
        <f t="shared" si="5"/>
        <v>45296</v>
      </c>
      <c r="AG9" s="4">
        <f t="shared" si="5"/>
        <v>45303</v>
      </c>
      <c r="AH9" s="4">
        <f t="shared" si="5"/>
        <v>45310</v>
      </c>
      <c r="AI9" s="4">
        <f t="shared" si="5"/>
        <v>45317</v>
      </c>
      <c r="AJ9" s="4">
        <v>45324.0</v>
      </c>
      <c r="AK9" s="4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1">
        <v>45387.0</v>
      </c>
      <c r="AT9" s="21">
        <v>45394.0</v>
      </c>
      <c r="AU9" s="21">
        <v>45401.0</v>
      </c>
      <c r="AV9" s="21">
        <v>45408.0</v>
      </c>
      <c r="AW9" s="21">
        <v>45415.0</v>
      </c>
      <c r="AX9" s="21">
        <v>45422.0</v>
      </c>
      <c r="AY9" s="21">
        <v>45429.0</v>
      </c>
      <c r="AZ9" s="21">
        <v>45436.0</v>
      </c>
      <c r="BA9" s="21">
        <v>45443.0</v>
      </c>
      <c r="BB9" s="21">
        <v>45450.0</v>
      </c>
      <c r="BC9" s="21">
        <v>45457.0</v>
      </c>
      <c r="BD9" s="21">
        <v>45464.0</v>
      </c>
      <c r="BE9" s="21">
        <v>45471.0</v>
      </c>
      <c r="BF9" s="21">
        <v>45478.0</v>
      </c>
      <c r="BG9" s="21">
        <v>45485.0</v>
      </c>
      <c r="BH9" s="21">
        <v>45492.0</v>
      </c>
      <c r="BI9" s="21">
        <v>45499.0</v>
      </c>
      <c r="BJ9" s="21">
        <v>45506.0</v>
      </c>
      <c r="BK9" s="21">
        <v>45513.0</v>
      </c>
      <c r="BL9" s="21">
        <v>45520.0</v>
      </c>
      <c r="BM9" s="21">
        <v>45527.0</v>
      </c>
      <c r="BN9" s="21">
        <v>45534.0</v>
      </c>
      <c r="BO9" s="21">
        <v>45541.0</v>
      </c>
      <c r="BP9" s="21">
        <v>45548.0</v>
      </c>
      <c r="BQ9" s="21">
        <v>45555.0</v>
      </c>
      <c r="BR9" s="21">
        <v>45562.0</v>
      </c>
      <c r="BS9" s="21">
        <v>45569.0</v>
      </c>
      <c r="BT9" s="21">
        <v>45576.0</v>
      </c>
      <c r="BU9" s="21">
        <v>45583.0</v>
      </c>
      <c r="BV9" s="21">
        <v>45590.0</v>
      </c>
      <c r="BW9" s="21">
        <v>45597.0</v>
      </c>
      <c r="BX9" s="21">
        <v>45604.0</v>
      </c>
      <c r="BY9" s="21">
        <v>45611.0</v>
      </c>
      <c r="BZ9" s="21">
        <v>45618.0</v>
      </c>
      <c r="CA9" s="21">
        <v>45625.0</v>
      </c>
      <c r="CB9" s="21">
        <v>45632.0</v>
      </c>
      <c r="CC9" s="21">
        <v>45639.0</v>
      </c>
      <c r="CD9" s="21">
        <v>45646.0</v>
      </c>
      <c r="CE9" s="21">
        <v>45660.0</v>
      </c>
    </row>
    <row r="10">
      <c r="A10" s="1" t="s">
        <v>69</v>
      </c>
      <c r="B10" s="24"/>
      <c r="F10" s="13"/>
      <c r="J10" s="17">
        <v>556.0</v>
      </c>
      <c r="K10" s="17">
        <v>610.0</v>
      </c>
      <c r="L10" s="17">
        <v>783.0</v>
      </c>
      <c r="M10" s="17">
        <v>798.0</v>
      </c>
      <c r="N10" s="17">
        <v>814.0</v>
      </c>
      <c r="O10" s="17">
        <v>828.0</v>
      </c>
      <c r="P10" s="17">
        <v>996.0</v>
      </c>
      <c r="Q10" s="17">
        <v>992.0</v>
      </c>
      <c r="R10" s="17">
        <v>1000.0</v>
      </c>
      <c r="S10" s="17">
        <v>1198.0</v>
      </c>
      <c r="T10" s="17">
        <v>1151.0</v>
      </c>
      <c r="U10" s="17">
        <v>1302.0</v>
      </c>
      <c r="V10" s="17">
        <v>1283.0</v>
      </c>
      <c r="W10" s="17">
        <v>1269.0</v>
      </c>
      <c r="X10" s="17">
        <v>1269.0</v>
      </c>
      <c r="Y10" s="17">
        <v>1228.0</v>
      </c>
      <c r="Z10" s="17">
        <v>1194.0</v>
      </c>
      <c r="AA10" s="17">
        <v>1265.0</v>
      </c>
      <c r="AB10" s="17">
        <v>1247.0</v>
      </c>
      <c r="AC10" s="17">
        <v>1242.0</v>
      </c>
      <c r="AD10" s="17">
        <v>1226.0</v>
      </c>
      <c r="AE10" s="17">
        <v>1204.0</v>
      </c>
      <c r="AF10" s="17">
        <v>1200.0</v>
      </c>
      <c r="AG10" s="17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3">
        <v>986.0</v>
      </c>
      <c r="AM10" s="33">
        <v>1030.0</v>
      </c>
      <c r="AN10" s="33">
        <v>1029.0</v>
      </c>
      <c r="AO10" s="33">
        <v>1070.0</v>
      </c>
      <c r="AP10" s="33">
        <v>1014.0</v>
      </c>
      <c r="AQ10" s="33">
        <v>975.0</v>
      </c>
      <c r="AR10" s="33">
        <v>871.0</v>
      </c>
      <c r="AS10" s="33">
        <v>897.0</v>
      </c>
      <c r="AT10" s="33">
        <v>866.0</v>
      </c>
      <c r="AU10" s="33">
        <v>901.0</v>
      </c>
      <c r="AV10" s="33">
        <v>976.0</v>
      </c>
      <c r="AW10" s="33">
        <v>914.0</v>
      </c>
      <c r="AX10" s="33">
        <v>913.0</v>
      </c>
      <c r="AY10" s="33">
        <v>982.0</v>
      </c>
      <c r="AZ10" s="33">
        <v>998.0</v>
      </c>
      <c r="BA10" s="33">
        <v>1027.0</v>
      </c>
      <c r="BB10" s="33">
        <v>934.0</v>
      </c>
      <c r="BC10" s="33">
        <v>856.0</v>
      </c>
      <c r="BD10" s="33">
        <v>796.0</v>
      </c>
      <c r="BE10" s="33">
        <v>715.0</v>
      </c>
      <c r="BF10" s="33">
        <v>681.0</v>
      </c>
      <c r="BG10" s="33">
        <v>644.0</v>
      </c>
      <c r="BH10" s="33">
        <v>579.0</v>
      </c>
      <c r="BI10" s="33">
        <v>515.0</v>
      </c>
      <c r="BJ10" s="33">
        <v>495.0</v>
      </c>
      <c r="BK10" s="33">
        <v>477.0</v>
      </c>
      <c r="BL10" s="33">
        <v>438.0</v>
      </c>
      <c r="BM10" s="33">
        <v>426.0</v>
      </c>
      <c r="BN10" s="33">
        <v>411.0</v>
      </c>
      <c r="BO10" s="33">
        <v>400.0</v>
      </c>
      <c r="BP10" s="33">
        <v>403.0</v>
      </c>
      <c r="BQ10" s="33">
        <v>392.0</v>
      </c>
      <c r="BR10" s="33">
        <v>426.0</v>
      </c>
      <c r="BS10" s="33">
        <v>472.0</v>
      </c>
      <c r="BT10" s="33">
        <v>490.0</v>
      </c>
      <c r="BU10" s="33">
        <v>522.0</v>
      </c>
      <c r="BV10" s="33">
        <v>538.0</v>
      </c>
      <c r="BW10" s="33">
        <v>551.0</v>
      </c>
      <c r="BX10" s="33">
        <v>731.0</v>
      </c>
      <c r="BY10" s="33">
        <v>690.0</v>
      </c>
      <c r="BZ10" s="33">
        <v>730.0</v>
      </c>
      <c r="CA10" s="33">
        <v>827.0</v>
      </c>
      <c r="CB10" s="33">
        <v>732.0</v>
      </c>
      <c r="CC10" s="33">
        <v>654.0</v>
      </c>
      <c r="CD10" s="33">
        <v>591.0</v>
      </c>
      <c r="CE10" s="33">
        <v>538.0</v>
      </c>
    </row>
    <row r="11">
      <c r="A11" s="1" t="s">
        <v>70</v>
      </c>
      <c r="B11" s="36"/>
      <c r="F11" s="13"/>
      <c r="J11" s="24"/>
      <c r="O11" s="17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71</v>
      </c>
      <c r="B12" s="36"/>
      <c r="F12" s="13"/>
      <c r="J12" s="24"/>
      <c r="O12" s="17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7">
        <v>249.0</v>
      </c>
      <c r="U14" s="17">
        <v>243.0</v>
      </c>
      <c r="V14" s="17">
        <v>248.0</v>
      </c>
      <c r="W14" s="17">
        <v>244.0</v>
      </c>
      <c r="X14" s="17">
        <v>246.0</v>
      </c>
      <c r="Y14" s="17">
        <v>248.0</v>
      </c>
      <c r="Z14" s="17">
        <v>246.0</v>
      </c>
      <c r="AA14" s="17">
        <v>241.0</v>
      </c>
      <c r="AB14" s="17">
        <v>245.0</v>
      </c>
      <c r="AC14" s="17">
        <v>248.0</v>
      </c>
      <c r="AD14" s="17">
        <v>248.0</v>
      </c>
      <c r="AE14" s="17">
        <v>256.0</v>
      </c>
      <c r="AF14" s="17">
        <v>259.0</v>
      </c>
      <c r="AG14" s="17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6"/>
      <c r="Q15" s="36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74</v>
      </c>
      <c r="B16" s="36"/>
      <c r="Q16" s="36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3"/>
      <c r="AM17" s="33"/>
      <c r="AN17" s="33"/>
      <c r="AO17" s="33"/>
      <c r="AP17" s="33">
        <v>98.0</v>
      </c>
      <c r="AQ17" s="33">
        <v>79.0</v>
      </c>
      <c r="AR17" s="33">
        <v>69.0</v>
      </c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</row>
    <row r="18">
      <c r="A18" s="1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3">
        <v>138.0</v>
      </c>
      <c r="AM18" s="33">
        <v>136.0</v>
      </c>
      <c r="AN18" s="33">
        <v>118.0</v>
      </c>
      <c r="AO18" s="33">
        <v>111.0</v>
      </c>
      <c r="AP18" s="33">
        <v>107.0</v>
      </c>
      <c r="AQ18" s="33">
        <v>109.0</v>
      </c>
      <c r="AR18" s="33">
        <v>115.0</v>
      </c>
      <c r="AS18" s="33">
        <v>90.0</v>
      </c>
      <c r="AT18" s="33">
        <v>78.0</v>
      </c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</row>
    <row r="19">
      <c r="A19" s="1" t="s">
        <v>77</v>
      </c>
      <c r="B19" s="24"/>
      <c r="F19" s="13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3">
        <v>251.0</v>
      </c>
      <c r="AM19" s="33">
        <v>254.0</v>
      </c>
      <c r="AN19" s="33">
        <v>237.0</v>
      </c>
      <c r="AO19" s="33">
        <v>231.0</v>
      </c>
      <c r="AP19" s="33">
        <v>223.0</v>
      </c>
      <c r="AQ19" s="33">
        <v>208.0</v>
      </c>
      <c r="AR19" s="33">
        <v>195.0</v>
      </c>
      <c r="AS19" s="33">
        <v>40.0</v>
      </c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</row>
    <row r="20">
      <c r="A20" s="1" t="s">
        <v>78</v>
      </c>
      <c r="B20" s="24"/>
      <c r="F20" s="13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3">
        <v>208.0</v>
      </c>
      <c r="AM21" s="33">
        <v>203.0</v>
      </c>
      <c r="AN21" s="33">
        <v>191.0</v>
      </c>
      <c r="AO21" s="33">
        <v>183.0</v>
      </c>
      <c r="AP21" s="33">
        <v>182.0</v>
      </c>
      <c r="AQ21" s="33">
        <v>170.0</v>
      </c>
      <c r="AR21" s="33">
        <v>170.0</v>
      </c>
      <c r="AS21" s="33">
        <v>158.0</v>
      </c>
      <c r="AT21" s="33">
        <v>154.0</v>
      </c>
      <c r="AU21" s="33">
        <v>153.0</v>
      </c>
      <c r="AV21" s="33">
        <v>145.0</v>
      </c>
      <c r="AW21" s="33">
        <v>137.0</v>
      </c>
      <c r="AX21" s="33">
        <v>123.0</v>
      </c>
      <c r="AY21" s="33">
        <v>119.0</v>
      </c>
      <c r="AZ21" s="33">
        <v>110.0</v>
      </c>
      <c r="BA21" s="33">
        <v>99.0</v>
      </c>
      <c r="BB21" s="33">
        <v>111.0</v>
      </c>
      <c r="BC21" s="33">
        <v>101.0</v>
      </c>
      <c r="BD21" s="33">
        <v>91.0</v>
      </c>
      <c r="BE21" s="33">
        <v>56.0</v>
      </c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</row>
    <row r="22">
      <c r="A22" s="1" t="s">
        <v>81</v>
      </c>
      <c r="B22" s="24"/>
      <c r="F22" s="13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3">
        <v>850.0</v>
      </c>
      <c r="AM22" s="33">
        <v>789.0</v>
      </c>
      <c r="AN22" s="33">
        <v>796.0</v>
      </c>
      <c r="AO22" s="33">
        <v>831.0</v>
      </c>
      <c r="AP22" s="33">
        <v>893.0</v>
      </c>
      <c r="AQ22" s="33">
        <v>881.0</v>
      </c>
      <c r="AR22" s="33">
        <v>891.0</v>
      </c>
      <c r="AS22" s="33">
        <v>860.0</v>
      </c>
      <c r="AT22" s="33">
        <v>879.0</v>
      </c>
      <c r="AU22" s="33">
        <v>822.0</v>
      </c>
      <c r="AV22" s="33">
        <v>794.0</v>
      </c>
      <c r="AW22" s="33">
        <v>711.0</v>
      </c>
      <c r="AX22" s="33">
        <v>752.0</v>
      </c>
      <c r="AY22" s="33">
        <v>720.0</v>
      </c>
      <c r="AZ22" s="33">
        <v>720.0</v>
      </c>
      <c r="BA22" s="33">
        <v>741.0</v>
      </c>
      <c r="BB22" s="33">
        <v>780.0</v>
      </c>
      <c r="BC22" s="33">
        <v>749.0</v>
      </c>
      <c r="BD22" s="33">
        <v>748.0</v>
      </c>
      <c r="BE22" s="33">
        <v>797.0</v>
      </c>
      <c r="BF22" s="33">
        <v>783.0</v>
      </c>
      <c r="BG22" s="33">
        <v>762.0</v>
      </c>
      <c r="BH22" s="33">
        <v>709.0</v>
      </c>
      <c r="BI22" s="33">
        <v>728.0</v>
      </c>
      <c r="BJ22" s="33">
        <v>718.0</v>
      </c>
      <c r="BK22" s="33">
        <v>702.0</v>
      </c>
      <c r="BL22" s="33">
        <v>702.0</v>
      </c>
      <c r="BM22" s="33">
        <v>713.0</v>
      </c>
      <c r="BN22" s="33">
        <v>762.0</v>
      </c>
      <c r="BO22" s="33">
        <v>771.0</v>
      </c>
      <c r="BP22" s="33">
        <v>812.0</v>
      </c>
      <c r="BQ22" s="33">
        <v>832.0</v>
      </c>
      <c r="BR22" s="33">
        <v>817.0</v>
      </c>
      <c r="BS22" s="33">
        <v>802.0</v>
      </c>
      <c r="BT22" s="33">
        <v>857.0</v>
      </c>
      <c r="BU22" s="33">
        <v>866.0</v>
      </c>
      <c r="BV22" s="33">
        <v>826.0</v>
      </c>
      <c r="BW22" s="33">
        <v>811.0</v>
      </c>
      <c r="BX22" s="33">
        <v>751.0</v>
      </c>
      <c r="BY22" s="33">
        <v>628.0</v>
      </c>
      <c r="BZ22" s="33">
        <v>529.0</v>
      </c>
      <c r="CA22" s="33">
        <v>425.0</v>
      </c>
      <c r="CB22" s="33">
        <v>312.0</v>
      </c>
      <c r="CC22" s="33">
        <v>185.0</v>
      </c>
      <c r="CD22" s="33">
        <v>123.0</v>
      </c>
      <c r="CE22" s="33"/>
    </row>
    <row r="23">
      <c r="A23" s="1" t="s">
        <v>82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3">
        <v>353.0</v>
      </c>
      <c r="AM23" s="33">
        <v>344.0</v>
      </c>
      <c r="AN23" s="33">
        <v>310.0</v>
      </c>
      <c r="AO23" s="33">
        <v>309.0</v>
      </c>
      <c r="AP23" s="33">
        <v>297.0</v>
      </c>
      <c r="AQ23" s="33">
        <v>279.0</v>
      </c>
      <c r="AR23" s="33">
        <v>258.0</v>
      </c>
      <c r="AS23" s="33">
        <v>226.0</v>
      </c>
      <c r="AT23" s="33">
        <v>80.0</v>
      </c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</row>
    <row r="24">
      <c r="A24" s="1" t="s">
        <v>84</v>
      </c>
      <c r="B24" s="24"/>
      <c r="F24" s="13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3">
        <v>2235.0</v>
      </c>
      <c r="AM24" s="33">
        <v>2150.0</v>
      </c>
      <c r="AN24" s="33">
        <v>2038.0</v>
      </c>
      <c r="AO24" s="33">
        <v>1896.0</v>
      </c>
      <c r="AP24" s="33">
        <v>1570.0</v>
      </c>
      <c r="AQ24" s="33">
        <v>1462.0</v>
      </c>
      <c r="AR24" s="33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3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4"/>
      <c r="F27" s="13"/>
      <c r="J27" s="24"/>
      <c r="O27" s="17">
        <v>377.0</v>
      </c>
      <c r="P27" s="17">
        <v>603.0</v>
      </c>
      <c r="Q27" s="17">
        <v>602.0</v>
      </c>
      <c r="R27" s="17">
        <v>598.0</v>
      </c>
      <c r="S27" s="17">
        <v>625.0</v>
      </c>
      <c r="T27" s="17">
        <v>616.0</v>
      </c>
      <c r="U27" s="17">
        <v>616.0</v>
      </c>
      <c r="V27" s="17">
        <v>628.0</v>
      </c>
      <c r="W27" s="17">
        <v>607.0</v>
      </c>
      <c r="X27" s="17">
        <v>619.0</v>
      </c>
      <c r="Y27" s="17">
        <v>606.0</v>
      </c>
      <c r="Z27" s="17">
        <v>617.0</v>
      </c>
      <c r="AA27" s="17">
        <v>615.0</v>
      </c>
      <c r="AB27" s="17">
        <v>589.0</v>
      </c>
      <c r="AC27" s="17">
        <v>588.0</v>
      </c>
      <c r="AD27" s="17">
        <v>591.0</v>
      </c>
      <c r="AE27" s="17">
        <v>602.0</v>
      </c>
      <c r="AF27" s="17">
        <v>601.0</v>
      </c>
      <c r="AG27" s="17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7">
        <v>91.0</v>
      </c>
      <c r="P28" s="17">
        <v>99.0</v>
      </c>
      <c r="Q28" s="17">
        <v>101.0</v>
      </c>
      <c r="R28" s="17">
        <v>99.0</v>
      </c>
      <c r="S28" s="17">
        <v>99.0</v>
      </c>
      <c r="T28" s="17">
        <v>98.0</v>
      </c>
      <c r="U28" s="17">
        <v>99.0</v>
      </c>
      <c r="V28" s="17">
        <v>99.0</v>
      </c>
      <c r="W28" s="17">
        <v>99.0</v>
      </c>
      <c r="X28" s="17">
        <v>98.0</v>
      </c>
      <c r="Y28" s="17">
        <v>94.0</v>
      </c>
      <c r="Z28" s="17">
        <v>93.0</v>
      </c>
      <c r="AA28" s="17">
        <v>95.0</v>
      </c>
      <c r="AB28" s="17">
        <v>93.0</v>
      </c>
      <c r="AC28" s="17">
        <v>98.0</v>
      </c>
      <c r="AD28" s="17">
        <v>95.0</v>
      </c>
      <c r="AE28" s="17">
        <v>98.0</v>
      </c>
      <c r="AF28" s="17">
        <v>99.0</v>
      </c>
      <c r="AG28" s="17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6"/>
      <c r="F29" s="13"/>
      <c r="J29" s="24"/>
      <c r="O29" s="17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6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7">
        <v>50.0</v>
      </c>
      <c r="O32" s="17">
        <v>50.0</v>
      </c>
      <c r="P32" s="17">
        <v>50.0</v>
      </c>
      <c r="Q32" s="17">
        <v>49.0</v>
      </c>
      <c r="R32" s="17">
        <v>51.0</v>
      </c>
      <c r="S32" s="17">
        <v>50.0</v>
      </c>
      <c r="T32" s="17">
        <v>47.0</v>
      </c>
      <c r="U32" s="17">
        <v>50.0</v>
      </c>
      <c r="V32" s="17">
        <v>50.0</v>
      </c>
      <c r="W32" s="17">
        <v>50.0</v>
      </c>
      <c r="X32" s="17">
        <v>49.0</v>
      </c>
      <c r="Y32" s="17">
        <v>47.0</v>
      </c>
      <c r="Z32" s="17">
        <v>47.0</v>
      </c>
      <c r="AA32" s="17">
        <v>47.0</v>
      </c>
      <c r="AB32" s="17">
        <v>51.0</v>
      </c>
      <c r="AC32" s="17">
        <v>50.0</v>
      </c>
      <c r="AD32" s="17">
        <v>49.0</v>
      </c>
      <c r="AE32" s="17">
        <v>49.0</v>
      </c>
      <c r="AF32" s="17">
        <v>50.0</v>
      </c>
      <c r="AG32" s="17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7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7"/>
      <c r="Q35" s="17">
        <v>100.0</v>
      </c>
      <c r="R35" s="17">
        <v>650.0</v>
      </c>
      <c r="S35" s="17">
        <v>647.0</v>
      </c>
      <c r="T35" s="17">
        <v>881.0</v>
      </c>
      <c r="U35" s="17">
        <v>890.0</v>
      </c>
      <c r="V35" s="17">
        <v>895.0</v>
      </c>
      <c r="W35" s="17">
        <v>882.0</v>
      </c>
      <c r="X35" s="17">
        <v>1127.0</v>
      </c>
      <c r="Y35" s="17">
        <v>1127.0</v>
      </c>
      <c r="Z35" s="17">
        <v>1128.0</v>
      </c>
      <c r="AA35" s="17">
        <v>1135.0</v>
      </c>
      <c r="AB35" s="17">
        <v>1114.0</v>
      </c>
      <c r="AC35" s="17">
        <v>1132.0</v>
      </c>
      <c r="AD35" s="17">
        <v>1134.0</v>
      </c>
      <c r="AE35" s="17">
        <v>1126.0</v>
      </c>
      <c r="AF35" s="17">
        <v>1129.0</v>
      </c>
      <c r="AG35" s="17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7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7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7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7">
        <v>881.0</v>
      </c>
      <c r="AD42" s="17">
        <v>877.0</v>
      </c>
      <c r="AE42" s="17">
        <v>880.0</v>
      </c>
      <c r="AF42" s="17">
        <v>879.0</v>
      </c>
      <c r="AG42" s="17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7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7"/>
      <c r="Q44" s="36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6"/>
      <c r="Q45" s="36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1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6"/>
      <c r="Q49" s="17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6"/>
      <c r="Q50" s="17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6"/>
      <c r="Q51" s="17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6"/>
      <c r="Q52" s="17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6"/>
      <c r="Q53" s="17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6"/>
      <c r="Q54" s="17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6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6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17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17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17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17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17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17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17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17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17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17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17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17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17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17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17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6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38" t="s">
        <v>80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1">
        <v>5413.0</v>
      </c>
      <c r="S2" s="11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83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1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4">
        <v>45093.0</v>
      </c>
      <c r="C1" s="4">
        <v>45100.0</v>
      </c>
      <c r="D1" s="4">
        <v>45107.0</v>
      </c>
      <c r="E1" s="4">
        <v>45114.0</v>
      </c>
      <c r="F1" s="4">
        <v>45121.0</v>
      </c>
      <c r="G1" s="4">
        <v>45128.0</v>
      </c>
      <c r="H1" s="4">
        <v>45135.0</v>
      </c>
      <c r="I1" s="4">
        <v>45142.0</v>
      </c>
      <c r="J1" s="4">
        <v>45149.0</v>
      </c>
      <c r="K1" s="4">
        <v>45156.0</v>
      </c>
      <c r="L1" s="4">
        <v>45163.0</v>
      </c>
      <c r="M1" s="4">
        <v>45170.0</v>
      </c>
      <c r="N1" s="4">
        <v>45177.0</v>
      </c>
      <c r="O1" s="4">
        <v>45184.0</v>
      </c>
      <c r="P1" s="4">
        <v>45191.0</v>
      </c>
      <c r="Q1" s="4">
        <v>45198.0</v>
      </c>
      <c r="R1" s="4">
        <v>45205.0</v>
      </c>
      <c r="S1" s="4">
        <v>45212.0</v>
      </c>
      <c r="T1" s="4">
        <v>45219.0</v>
      </c>
      <c r="U1" s="4">
        <v>45226.0</v>
      </c>
      <c r="V1" s="4">
        <v>45233.0</v>
      </c>
      <c r="W1" s="4">
        <v>45240.0</v>
      </c>
      <c r="X1" s="4">
        <v>45247.0</v>
      </c>
      <c r="Y1" s="4">
        <v>45254.0</v>
      </c>
      <c r="Z1" s="4">
        <v>45261.0</v>
      </c>
      <c r="AA1" s="4">
        <v>45268.0</v>
      </c>
      <c r="AB1" s="4">
        <v>45275.0</v>
      </c>
      <c r="AC1" s="4">
        <v>45282.0</v>
      </c>
      <c r="AD1" s="4">
        <v>45289.0</v>
      </c>
      <c r="AE1" s="4">
        <v>45296.0</v>
      </c>
      <c r="AF1" s="4">
        <v>45303.0</v>
      </c>
      <c r="AG1" s="4">
        <v>45310.0</v>
      </c>
      <c r="AH1" s="4">
        <v>45317.0</v>
      </c>
      <c r="AI1" s="4">
        <v>45324.0</v>
      </c>
      <c r="AJ1" s="4">
        <v>45331.0</v>
      </c>
      <c r="AK1" s="4">
        <v>45338.0</v>
      </c>
      <c r="AL1" s="4">
        <v>45345.0</v>
      </c>
      <c r="AM1" s="4">
        <v>45352.0</v>
      </c>
      <c r="AN1" s="4">
        <v>45359.0</v>
      </c>
      <c r="AO1" s="4">
        <v>45366.0</v>
      </c>
      <c r="AP1" s="4">
        <v>45373.0</v>
      </c>
      <c r="AQ1" s="4">
        <v>45380.0</v>
      </c>
      <c r="AR1" s="4">
        <v>45387.0</v>
      </c>
      <c r="AS1" s="4">
        <v>45394.0</v>
      </c>
      <c r="AT1" s="4">
        <v>45401.0</v>
      </c>
      <c r="AU1" s="4">
        <v>45408.0</v>
      </c>
      <c r="AV1" s="4">
        <v>45415.0</v>
      </c>
      <c r="AW1" s="4">
        <v>45422.0</v>
      </c>
      <c r="AX1" s="4">
        <v>45429.0</v>
      </c>
      <c r="AY1" s="4">
        <v>45436.0</v>
      </c>
      <c r="AZ1" s="4">
        <v>45443.0</v>
      </c>
      <c r="BA1" s="4">
        <v>45450.0</v>
      </c>
      <c r="BB1" s="4">
        <v>45457.0</v>
      </c>
      <c r="BC1" s="4">
        <v>45464.0</v>
      </c>
      <c r="BD1" s="4">
        <v>45471.0</v>
      </c>
      <c r="BE1" s="4">
        <v>45478.0</v>
      </c>
      <c r="BF1" s="4">
        <v>45485.0</v>
      </c>
      <c r="BG1" s="4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48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7">
        <v>3.0</v>
      </c>
      <c r="K6" s="17">
        <v>5.0</v>
      </c>
      <c r="L6" s="17">
        <v>6.0</v>
      </c>
      <c r="M6" s="17">
        <v>10.0</v>
      </c>
      <c r="N6" s="17">
        <v>9.0</v>
      </c>
      <c r="O6" s="17">
        <v>3.0</v>
      </c>
      <c r="P6" s="17">
        <v>18.0</v>
      </c>
      <c r="Q6" s="17">
        <v>7.0</v>
      </c>
      <c r="R6" s="17">
        <v>17.0</v>
      </c>
      <c r="S6" s="17">
        <v>7.0</v>
      </c>
      <c r="T6" s="17">
        <v>5.0</v>
      </c>
      <c r="U6" s="17">
        <v>5.0</v>
      </c>
      <c r="V6" s="17">
        <v>7.0</v>
      </c>
      <c r="W6" s="17">
        <v>3.0</v>
      </c>
      <c r="X6" s="17">
        <v>3.0</v>
      </c>
      <c r="Y6" s="17">
        <v>6.0</v>
      </c>
      <c r="Z6" s="17">
        <v>7.0</v>
      </c>
      <c r="AA6" s="17">
        <v>13.0</v>
      </c>
      <c r="AB6" s="17">
        <v>9.0</v>
      </c>
      <c r="AC6" s="17">
        <v>0.0</v>
      </c>
      <c r="AD6" s="17">
        <v>2.0</v>
      </c>
      <c r="AE6" s="17">
        <v>5.0</v>
      </c>
      <c r="AF6" s="17">
        <v>13.0</v>
      </c>
      <c r="AG6" s="17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31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53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59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6">
        <v>5.0</v>
      </c>
      <c r="I21" s="24">
        <v>0.0</v>
      </c>
      <c r="J21" s="36">
        <v>2.0</v>
      </c>
      <c r="K21" s="36">
        <v>6.0</v>
      </c>
      <c r="L21" s="24">
        <v>0.0</v>
      </c>
      <c r="M21" s="36">
        <v>10.0</v>
      </c>
      <c r="N21" s="17">
        <v>18.0</v>
      </c>
      <c r="O21" s="17">
        <v>4.0</v>
      </c>
      <c r="P21" s="17">
        <v>12.0</v>
      </c>
      <c r="Q21" s="17">
        <v>15.0</v>
      </c>
      <c r="R21" s="17">
        <v>2.0</v>
      </c>
      <c r="S21" s="17">
        <v>5.0</v>
      </c>
      <c r="T21" s="17">
        <v>4.0</v>
      </c>
      <c r="U21" s="17">
        <v>13.0</v>
      </c>
      <c r="V21" s="17">
        <v>6.0</v>
      </c>
      <c r="W21" s="17">
        <v>2.0</v>
      </c>
      <c r="X21" s="17">
        <v>3.0</v>
      </c>
      <c r="Y21" s="17">
        <v>9.0</v>
      </c>
      <c r="Z21" s="17">
        <v>2.0</v>
      </c>
      <c r="AA21" s="17">
        <v>1.0</v>
      </c>
      <c r="AB21" s="17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3"/>
      <c r="F23" s="13"/>
      <c r="I23" s="13"/>
      <c r="L23" s="28"/>
      <c r="M23" s="17"/>
      <c r="P23" s="13"/>
      <c r="Q23" s="17"/>
      <c r="R23" s="25"/>
      <c r="S23" s="28"/>
      <c r="Y23" s="17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3"/>
      <c r="F24" s="13"/>
      <c r="I24" s="13"/>
      <c r="L24" s="28"/>
      <c r="M24" s="17"/>
      <c r="P24" s="13"/>
      <c r="Q24" s="17"/>
      <c r="R24" s="25"/>
      <c r="S24" s="28"/>
      <c r="Y24" s="17"/>
      <c r="Z24" s="44"/>
      <c r="AA24" s="28"/>
    </row>
    <row r="25">
      <c r="B25" s="28"/>
      <c r="E25" s="13"/>
      <c r="F25" s="13"/>
      <c r="G25" s="28"/>
      <c r="H25" s="17"/>
      <c r="I25" s="13"/>
      <c r="L25" s="28"/>
      <c r="M25" s="17"/>
      <c r="P25" s="13"/>
      <c r="Q25" s="17"/>
      <c r="R25" s="25"/>
      <c r="S25" s="28"/>
      <c r="Y25" s="17"/>
      <c r="Z25" s="44"/>
      <c r="AA25" s="28"/>
      <c r="AB25" s="17"/>
      <c r="AC25" s="25"/>
      <c r="AD25" s="28"/>
      <c r="AE25" s="17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3"/>
      <c r="E26" s="13"/>
      <c r="F26" s="13"/>
      <c r="G26" s="28"/>
      <c r="H26" s="17"/>
      <c r="I26" s="13"/>
      <c r="L26" s="28"/>
      <c r="M26" s="17"/>
      <c r="N26" s="28"/>
      <c r="O26" s="17"/>
      <c r="P26" s="13"/>
      <c r="Q26" s="17"/>
      <c r="R26" s="25"/>
      <c r="S26" s="28"/>
      <c r="AB26" s="44"/>
      <c r="AC26" s="28"/>
      <c r="AD26" s="45"/>
      <c r="AE26" s="17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3"/>
      <c r="F27" s="13"/>
      <c r="G27" s="28"/>
      <c r="H27" s="17"/>
      <c r="I27" s="13"/>
      <c r="L27" s="28"/>
      <c r="M27" s="17"/>
      <c r="N27" s="28"/>
      <c r="O27" s="17"/>
      <c r="P27" s="13"/>
      <c r="Q27" s="17"/>
      <c r="R27" s="44"/>
      <c r="S27" s="28"/>
      <c r="X27" s="13"/>
      <c r="AA27" s="13"/>
      <c r="AB27" s="44"/>
      <c r="AC27" s="25"/>
      <c r="AD27" s="25"/>
    </row>
    <row r="28">
      <c r="B28" s="28"/>
      <c r="E28" s="13"/>
      <c r="F28" s="13"/>
      <c r="G28" s="28"/>
      <c r="H28" s="17"/>
      <c r="L28" s="28"/>
      <c r="M28" s="17"/>
      <c r="N28" s="28"/>
      <c r="O28" s="17"/>
      <c r="P28" s="13"/>
      <c r="Q28" s="17"/>
      <c r="R28" s="44"/>
      <c r="S28" s="28"/>
      <c r="X28" s="13"/>
      <c r="AA28" s="13"/>
      <c r="AB28" s="17"/>
      <c r="AC28" s="25"/>
      <c r="AD28" s="25"/>
    </row>
    <row r="29">
      <c r="B29" s="13"/>
      <c r="C29" s="24"/>
      <c r="E29" s="13"/>
      <c r="F29" s="13"/>
      <c r="G29" s="28"/>
      <c r="H29" s="17"/>
      <c r="L29" s="28"/>
      <c r="M29" s="17"/>
      <c r="N29" s="28"/>
      <c r="O29" s="17"/>
      <c r="P29" s="13"/>
      <c r="Q29" s="17"/>
      <c r="R29" s="44"/>
      <c r="S29" s="28"/>
      <c r="X29" s="13"/>
      <c r="AA29" s="13"/>
      <c r="AC29" s="28"/>
      <c r="AD29" s="17"/>
    </row>
    <row r="30">
      <c r="B30" s="13"/>
      <c r="C30" s="24"/>
      <c r="E30" s="13"/>
      <c r="F30" s="13"/>
      <c r="G30" s="28"/>
      <c r="H30" s="17"/>
      <c r="N30" s="28"/>
      <c r="O30" s="17"/>
      <c r="P30" s="13"/>
      <c r="X30" s="13"/>
      <c r="AA30" s="13"/>
      <c r="AC30" s="28"/>
      <c r="AD30" s="17"/>
    </row>
    <row r="31">
      <c r="B31" s="13"/>
      <c r="C31" s="24"/>
      <c r="E31" s="13"/>
      <c r="F31" s="13"/>
      <c r="G31" s="28"/>
      <c r="H31" s="17"/>
      <c r="N31" s="28"/>
      <c r="O31" s="17"/>
      <c r="P31" s="13"/>
      <c r="X31" s="13"/>
      <c r="AA31" s="13"/>
      <c r="AC31" s="25"/>
      <c r="AD31" s="44"/>
    </row>
    <row r="32">
      <c r="B32" s="13"/>
      <c r="C32" s="24"/>
      <c r="E32" s="13"/>
      <c r="F32" s="13"/>
      <c r="G32" s="28"/>
      <c r="H32" s="17"/>
      <c r="N32" s="28"/>
      <c r="O32" s="17"/>
      <c r="P32" s="13"/>
      <c r="X32" s="13"/>
      <c r="AA32" s="13"/>
      <c r="AC32" s="28"/>
      <c r="AD32" s="17"/>
    </row>
    <row r="33">
      <c r="B33" s="13"/>
      <c r="C33" s="24"/>
      <c r="E33" s="13"/>
      <c r="F33" s="13"/>
      <c r="G33" s="28"/>
      <c r="H33" s="17"/>
      <c r="N33" s="28"/>
      <c r="O33" s="17"/>
      <c r="X33" s="13"/>
      <c r="AA33" s="13"/>
      <c r="AC33" s="28"/>
      <c r="AD33" s="17"/>
    </row>
    <row r="34">
      <c r="E34" s="13"/>
      <c r="F34" s="13"/>
      <c r="G34" s="28"/>
      <c r="H34" s="17"/>
      <c r="N34" s="28"/>
      <c r="O34" s="17"/>
      <c r="X34" s="13"/>
      <c r="AA34" s="13"/>
      <c r="AC34" s="28"/>
      <c r="AD34" s="17"/>
    </row>
    <row r="35">
      <c r="B35" s="13"/>
      <c r="C35" s="24"/>
      <c r="E35" s="13"/>
      <c r="F35" s="13"/>
      <c r="G35" s="28"/>
      <c r="H35" s="17"/>
      <c r="N35" s="28"/>
      <c r="O35" s="17"/>
      <c r="X35" s="13"/>
      <c r="AA35" s="13"/>
      <c r="AC35" s="28"/>
      <c r="AD35" s="17"/>
    </row>
    <row r="36">
      <c r="B36" s="13"/>
      <c r="C36" s="24"/>
      <c r="E36" s="13"/>
      <c r="F36" s="13"/>
      <c r="G36" s="28"/>
      <c r="H36" s="17"/>
      <c r="N36" s="28"/>
      <c r="O36" s="17"/>
      <c r="X36" s="13"/>
      <c r="AA36" s="13"/>
      <c r="AC36" s="28"/>
      <c r="AD36" s="17"/>
    </row>
    <row r="37">
      <c r="B37" s="13"/>
      <c r="C37" s="24"/>
      <c r="E37" s="13"/>
      <c r="F37" s="13"/>
      <c r="G37" s="28"/>
      <c r="H37" s="17"/>
      <c r="N37" s="28"/>
      <c r="O37" s="17"/>
      <c r="X37" s="13"/>
      <c r="AA37" s="13"/>
    </row>
    <row r="38">
      <c r="B38" s="13"/>
      <c r="C38" s="24"/>
      <c r="E38" s="13"/>
      <c r="F38" s="13"/>
      <c r="G38" s="28"/>
      <c r="H38" s="17"/>
      <c r="N38" s="28"/>
      <c r="O38" s="17"/>
      <c r="X38" s="13"/>
      <c r="AA38" s="13"/>
    </row>
    <row r="39">
      <c r="B39" s="13"/>
      <c r="C39" s="24"/>
      <c r="E39" s="13"/>
      <c r="F39" s="13"/>
      <c r="G39" s="28"/>
      <c r="H39" s="17"/>
      <c r="N39" s="28"/>
      <c r="O39" s="17"/>
      <c r="X39" s="13"/>
      <c r="AA39" s="13"/>
    </row>
    <row r="40">
      <c r="B40" s="13"/>
      <c r="C40" s="24"/>
      <c r="E40" s="13"/>
      <c r="F40" s="13"/>
      <c r="G40" s="28"/>
      <c r="H40" s="17"/>
      <c r="X40" s="13"/>
      <c r="AA40" s="13"/>
    </row>
    <row r="41">
      <c r="B41" s="13"/>
      <c r="C41" s="24"/>
      <c r="E41" s="13"/>
      <c r="G41" s="28"/>
      <c r="H41" s="17"/>
      <c r="X41" s="13"/>
      <c r="AA41" s="13"/>
    </row>
    <row r="42">
      <c r="B42" s="13"/>
      <c r="E42" s="13"/>
      <c r="G42" s="28"/>
      <c r="H42" s="17"/>
      <c r="X42" s="13"/>
      <c r="AA42" s="13"/>
    </row>
    <row r="43">
      <c r="B43" s="13"/>
      <c r="E43" s="13"/>
      <c r="G43" s="28"/>
      <c r="H43" s="17"/>
      <c r="X43" s="13"/>
      <c r="AA43" s="13"/>
    </row>
    <row r="44">
      <c r="B44" s="13"/>
      <c r="E44" s="13"/>
      <c r="G44" s="28"/>
      <c r="H44" s="17"/>
      <c r="X44" s="13"/>
      <c r="AA44" s="13"/>
    </row>
    <row r="45">
      <c r="B45" s="13"/>
      <c r="E45" s="13"/>
      <c r="G45" s="28"/>
      <c r="H45" s="17"/>
      <c r="X45" s="13"/>
      <c r="AA45" s="13"/>
    </row>
    <row r="46">
      <c r="B46" s="13"/>
      <c r="E46" s="13"/>
      <c r="G46" s="28"/>
      <c r="H46" s="17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