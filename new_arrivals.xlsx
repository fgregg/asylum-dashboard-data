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<sst xmlns="http://schemas.openxmlformats.org/spreadsheetml/2006/main" count="165" uniqueCount="141">
  <si>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</si>
  <si>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</si>
  <si>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</si>
  <si>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</si>
  <si>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</si>
  <si>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BUSES</t>
  </si>
  <si>
    <t>COUNTRY OF ORIGIN AT SHELTERS</t>
  </si>
  <si>
    <t>694 (interpolated)</t>
  </si>
  <si>
    <t>51643*</t>
  </si>
  <si>
    <t>Total Exits from Sheltering System (Individuals)</t>
  </si>
  <si>
    <t>Buses Arrived in Last 7 Days at Landing Zone</t>
  </si>
  <si>
    <t>Does not include State operated shelters</t>
  </si>
  <si>
    <t>DAILY COUNT NO LONGER UPDATED HERE.</t>
  </si>
  <si>
    <t>39409*</t>
  </si>
  <si>
    <t>Buses Arrived in Last 7 Days, not at Landing Zone</t>
  </si>
  <si>
    <t>INACTIVE DATA SETS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</si>
  <si>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</si>
  <si>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Total New Arrivals Placed in Shelters by 311 to Date</t>
  </si>
  <si>
    <t>Venezuela</t>
  </si>
  <si>
    <t>4731*</t>
  </si>
  <si>
    <t>Colombia</t>
  </si>
  <si>
    <t>3681*</t>
  </si>
  <si>
    <t># OF PEOPLE</t>
  </si>
  <si>
    <t>USA</t>
  </si>
  <si>
    <t>60 Day Policy Exits in Last 7 Days</t>
  </si>
  <si>
    <t>Ecuador</t>
  </si>
  <si>
    <t>138*</t>
  </si>
  <si>
    <t>60-Day Policy Exits Returned to Landing Zone in Last 7 Days</t>
  </si>
  <si>
    <t>27*</t>
  </si>
  <si>
    <t>STAGING AREA</t>
  </si>
  <si>
    <t>Peru</t>
  </si>
  <si>
    <t>126*</t>
  </si>
  <si>
    <t>135*</t>
  </si>
  <si>
    <t>Landing Zone Arrivals via Texas Contracted Buses in Last 7 Days</t>
  </si>
  <si>
    <t>Haiti</t>
  </si>
  <si>
    <t>Total Arrivals to Landing Zone in Last 7 Days</t>
  </si>
  <si>
    <t>Landing Zone</t>
  </si>
  <si>
    <t>Angola</t>
  </si>
  <si>
    <t>O'Hare Airport</t>
  </si>
  <si>
    <t>Honduras</t>
  </si>
  <si>
    <t>Single Men</t>
  </si>
  <si>
    <t>Midway Airport</t>
  </si>
  <si>
    <t>Single Women</t>
  </si>
  <si>
    <t>Other</t>
  </si>
  <si>
    <t>Police Districts (All)</t>
  </si>
  <si>
    <t xml:space="preserve">Families (individuals in a family unit) </t>
  </si>
  <si>
    <t>Bolivia</t>
  </si>
  <si>
    <t>STAGING AREA TOTAL</t>
  </si>
  <si>
    <t>Brazil</t>
  </si>
  <si>
    <t>New Arrivals Placed in Shelters from Landing Zone in Last 7 Days</t>
  </si>
  <si>
    <t>Chile</t>
  </si>
  <si>
    <t>Landing Zone Arrivals as Walk-ins in Last 7 Days</t>
  </si>
  <si>
    <t>Cuba</t>
  </si>
  <si>
    <t>New Arrivals Placed in Shelters Last 7 Days</t>
  </si>
  <si>
    <t>Dominican Republic</t>
  </si>
  <si>
    <t>Individuals via non Texas-Contracted Bus</t>
  </si>
  <si>
    <t>Minors Currently in Staging Area</t>
  </si>
  <si>
    <t>Indviduals via non Texas-Contracted Bus with Personal Movement Plans</t>
  </si>
  <si>
    <t>El Salvador</t>
  </si>
  <si>
    <t>Individuals Arrived Via Texas Contracted Buses with Personal Movement Plans</t>
  </si>
  <si>
    <t>Guatemala</t>
  </si>
  <si>
    <t>Mauritania</t>
  </si>
  <si>
    <t>SHELTER</t>
  </si>
  <si>
    <t>Mexico</t>
  </si>
  <si>
    <t>Morocco</t>
  </si>
  <si>
    <t>American Islamic College</t>
  </si>
  <si>
    <t>Nicaragua</t>
  </si>
  <si>
    <t>Midway Shelter</t>
  </si>
  <si>
    <t>Russia</t>
  </si>
  <si>
    <t>MWRD</t>
  </si>
  <si>
    <t>Sudan</t>
  </si>
  <si>
    <t>South DuSable</t>
  </si>
  <si>
    <t>Unknown</t>
  </si>
  <si>
    <t>YWLA</t>
  </si>
  <si>
    <t>INACTIVE SHELTERS</t>
  </si>
  <si>
    <t>Total Shelter Residents</t>
  </si>
  <si>
    <t>Best Western Hotel</t>
  </si>
  <si>
    <t>Brands Park</t>
  </si>
  <si>
    <t>Total Awaiting Placement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</si>
  <si>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</si>
  <si>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</si>
  <si>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</si>
  <si>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</si>
  <si>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</si>
  <si>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</si>
  <si>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</si>
  <si>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</si>
  <si>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</si>
  <si>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</si>
  <si>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</si>
  <si>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</si>
  <si>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</si>
  <si>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</si>
  <si>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</si>
  <si>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</si>
  <si>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</si>
  <si>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</si>
  <si>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</si>
  <si>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</si>
  <si>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</si>
  <si>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</si>
  <si>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</si>
  <si>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</si>
  <si>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</si>
  <si>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</si>
  <si>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</si>
  <si>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</si>
  <si>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INACTIVE DATA SET</t>
  </si>
  <si>
    <t>311 SHELTER REQUESTS</t>
  </si>
  <si>
    <t>Minors Currently in Shelters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</si>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</sst>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2" fontId="4" numFmtId="0" xfId="0" applyAlignment="1" applyFon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2" fontId="1" numFmtId="0" xfId="0" applyAlignment="1" applyFont="1">
      <alignment readingOrder="0"/>
    </xf>
    <xf borderId="0" fillId="2" fontId="6" numFmtId="0" xfId="0" applyAlignment="1" applyFont="1">
      <alignment readingOrder="0"/>
    </xf>
    <xf borderId="0" fillId="0" fontId="7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7" numFmtId="167" xfId="0" applyAlignment="1" applyFont="1" applyNumberFormat="1">
      <alignment horizontal="right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67" xfId="0" applyAlignment="1" applyFont="1" applyNumberFormat="1">
      <alignment readingOrder="0" vertical="bottom"/>
    </xf>
    <xf borderId="0" fillId="0" fontId="7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938251425"/>
        <c:axId val="132422065"/>
      </c:areaChart>
      <c:catAx>
        <c:axId val="9382514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422065"/>
      </c:catAx>
      <c:valAx>
        <c:axId val="1324220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82514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115701066"/>
        <c:axId val="509531742"/>
      </c:barChart>
      <c:catAx>
        <c:axId val="21157010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9531742"/>
      </c:catAx>
      <c:valAx>
        <c:axId val="5095317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570106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29867156"/>
        <c:axId val="1953626650"/>
      </c:barChart>
      <c:catAx>
        <c:axId val="7298671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3626650"/>
      </c:catAx>
      <c:valAx>
        <c:axId val="19536266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98671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90146013"/>
        <c:axId val="143910635"/>
      </c:lineChart>
      <c:catAx>
        <c:axId val="2901460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910635"/>
      </c:catAx>
      <c:valAx>
        <c:axId val="14391063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01460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5103596"/>
        <c:axId val="378717996"/>
      </c:lineChart>
      <c:catAx>
        <c:axId val="1351035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8717996"/>
      </c:catAx>
      <c:valAx>
        <c:axId val="3787179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1035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07517840"/>
        <c:axId val="613947605"/>
      </c:barChart>
      <c:catAx>
        <c:axId val="1207517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3947605"/>
      </c:catAx>
      <c:valAx>
        <c:axId val="6139476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75178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9" t="s">
        <v>7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1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1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1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1">
        <v>923.0</v>
      </c>
      <c r="C79" s="1">
        <v>923.0</v>
      </c>
    </row>
    <row r="80">
      <c r="A80" s="4">
        <v>45451.0</v>
      </c>
      <c r="B80" s="11">
        <v>943.0</v>
      </c>
    </row>
    <row r="81">
      <c r="A81" s="4">
        <v>45452.0</v>
      </c>
      <c r="B81" s="11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5" t="s">
        <v>12</v>
      </c>
    </row>
    <row r="92">
      <c r="B92" s="16" t="s">
        <v>16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0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0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0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0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9" t="s">
        <v>21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7">
        <v>34904.0</v>
      </c>
      <c r="AJ2" s="7">
        <v>35193.0</v>
      </c>
      <c r="AK2" s="7">
        <v>35393.0</v>
      </c>
      <c r="AL2" s="7">
        <v>35644.0</v>
      </c>
      <c r="AM2" s="7">
        <v>35901.0</v>
      </c>
      <c r="AN2" s="7">
        <v>36178.0</v>
      </c>
      <c r="AO2" s="7">
        <v>36589.0</v>
      </c>
      <c r="AP2" s="7">
        <v>37124.0</v>
      </c>
      <c r="AQ2" s="7">
        <v>37667.0</v>
      </c>
      <c r="AR2" s="7">
        <v>38142.0</v>
      </c>
      <c r="AS2" s="7">
        <v>38650.0</v>
      </c>
      <c r="AT2" s="7">
        <v>39158.0</v>
      </c>
      <c r="AU2" s="7">
        <v>39666.0</v>
      </c>
      <c r="AV2" s="7">
        <v>40345.0</v>
      </c>
      <c r="AW2" s="7">
        <v>40916.0</v>
      </c>
      <c r="AX2" s="7">
        <v>41279.0</v>
      </c>
      <c r="AY2" s="7">
        <v>41728.0</v>
      </c>
      <c r="AZ2" s="7">
        <v>42201.0</v>
      </c>
      <c r="BA2" s="7">
        <v>42637.0</v>
      </c>
      <c r="BB2" s="7">
        <v>43058.0</v>
      </c>
      <c r="BC2" s="7">
        <v>43465.0</v>
      </c>
      <c r="BD2" s="7">
        <v>43751.0</v>
      </c>
      <c r="BE2" s="7">
        <v>44153.0</v>
      </c>
      <c r="BF2" s="7">
        <v>44390.0</v>
      </c>
      <c r="BG2" s="7">
        <v>44655.0</v>
      </c>
      <c r="BH2" s="7">
        <v>44963.0</v>
      </c>
      <c r="BI2" s="7">
        <v>45370.0</v>
      </c>
      <c r="BJ2" s="7">
        <v>45779.0</v>
      </c>
      <c r="BK2" s="7">
        <v>46186.0</v>
      </c>
      <c r="BL2" s="7">
        <v>46611.0</v>
      </c>
      <c r="BM2" s="7">
        <v>46926.0</v>
      </c>
      <c r="BN2" s="7">
        <v>47292.0</v>
      </c>
      <c r="BO2" s="7">
        <v>47580.0</v>
      </c>
      <c r="BP2" s="7">
        <v>47958.0</v>
      </c>
      <c r="BQ2" s="7">
        <v>48360.0</v>
      </c>
      <c r="BR2" s="7">
        <v>48756.0</v>
      </c>
      <c r="BS2" s="7">
        <v>49164.0</v>
      </c>
      <c r="BT2" s="7">
        <v>49532.0</v>
      </c>
      <c r="BU2" s="7">
        <v>49899.0</v>
      </c>
      <c r="BV2" s="7">
        <v>50278.0</v>
      </c>
      <c r="BW2" s="7">
        <v>50666.0</v>
      </c>
      <c r="BX2" s="7">
        <v>50970.0</v>
      </c>
      <c r="BY2" s="7">
        <v>51222.0</v>
      </c>
      <c r="BZ2" s="7">
        <v>51486.0</v>
      </c>
      <c r="CA2" s="7">
        <v>51643.0</v>
      </c>
      <c r="CB2" s="12" t="s">
        <v>8</v>
      </c>
      <c r="CC2" s="12">
        <v>51644.0</v>
      </c>
      <c r="CD2" s="12">
        <v>51649.0</v>
      </c>
      <c r="CE2" s="12">
        <v>51779.0</v>
      </c>
    </row>
    <row r="3">
      <c r="A3" s="1" t="s">
        <v>9</v>
      </c>
      <c r="D3" s="13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7">
        <v>18070.0</v>
      </c>
      <c r="AL3" s="1">
        <v>18715.0</v>
      </c>
      <c r="AM3" s="7">
        <v>19332.0</v>
      </c>
      <c r="AN3" s="7">
        <v>19977.0</v>
      </c>
      <c r="AO3" s="7">
        <v>20716.0</v>
      </c>
      <c r="AP3" s="7">
        <v>21473.0</v>
      </c>
      <c r="AQ3" s="7">
        <v>22343.0</v>
      </c>
      <c r="AR3" s="7">
        <v>23196.0</v>
      </c>
      <c r="AS3" s="7">
        <v>24149.0</v>
      </c>
      <c r="AT3" s="7">
        <v>25029.0</v>
      </c>
      <c r="AU3" s="7">
        <v>26279.0</v>
      </c>
      <c r="AV3" s="7">
        <v>26858.0</v>
      </c>
      <c r="AW3" s="7">
        <v>27676.0</v>
      </c>
      <c r="AX3" s="7">
        <v>28372.0</v>
      </c>
      <c r="AY3" s="7">
        <v>28912.0</v>
      </c>
      <c r="AZ3" s="7">
        <v>29525.0</v>
      </c>
      <c r="BA3" s="7">
        <v>30104.0</v>
      </c>
      <c r="BB3" s="7">
        <v>30741.0</v>
      </c>
      <c r="BC3" s="7">
        <v>31340.0</v>
      </c>
      <c r="BD3" s="7">
        <v>31840.0</v>
      </c>
      <c r="BE3" s="7">
        <v>32501.0</v>
      </c>
      <c r="BF3" s="7">
        <v>32871.0</v>
      </c>
      <c r="BG3" s="7">
        <v>33157.0</v>
      </c>
      <c r="BH3" s="7">
        <v>33456.0</v>
      </c>
      <c r="BI3" s="7">
        <v>33746.0</v>
      </c>
      <c r="BJ3" s="7">
        <v>34008.0</v>
      </c>
      <c r="BK3" s="7">
        <v>34322.0</v>
      </c>
      <c r="BL3" s="7">
        <v>34593.0</v>
      </c>
      <c r="BM3" s="7">
        <v>34876.0</v>
      </c>
      <c r="BN3" s="7">
        <v>35119.0</v>
      </c>
      <c r="BO3" s="7">
        <v>35417.0</v>
      </c>
      <c r="BP3" s="7">
        <v>35608.0</v>
      </c>
      <c r="BQ3" s="7">
        <v>35867.0</v>
      </c>
      <c r="BR3" s="7">
        <v>36110.0</v>
      </c>
      <c r="BS3" s="7">
        <v>36377.0</v>
      </c>
      <c r="BT3" s="7">
        <v>36689.0</v>
      </c>
      <c r="BU3" s="7">
        <v>37068.0</v>
      </c>
      <c r="BV3" s="7">
        <v>37326.0</v>
      </c>
      <c r="BW3" s="7">
        <v>37583.0</v>
      </c>
      <c r="BX3" s="7">
        <v>38099.0</v>
      </c>
      <c r="BY3" s="7">
        <v>38581.0</v>
      </c>
      <c r="BZ3" s="7">
        <v>38581.0</v>
      </c>
      <c r="CA3" s="7">
        <v>39409.0</v>
      </c>
      <c r="CB3" s="12" t="s">
        <v>13</v>
      </c>
      <c r="CC3" s="12" t="s">
        <v>13</v>
      </c>
      <c r="CD3" s="12">
        <v>39745.0</v>
      </c>
      <c r="CE3" s="12">
        <v>40670.0</v>
      </c>
    </row>
    <row r="4">
      <c r="D4" s="13"/>
    </row>
    <row r="5">
      <c r="A5" s="1" t="s">
        <v>15</v>
      </c>
      <c r="D5" s="13"/>
    </row>
    <row r="6">
      <c r="A6" s="1" t="s">
        <v>17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7">
        <v>7175.0</v>
      </c>
      <c r="AL6" s="1">
        <v>7178.0</v>
      </c>
      <c r="AM6" s="1">
        <v>7182.0</v>
      </c>
      <c r="AN6" s="7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3"/>
    </row>
    <row r="8">
      <c r="D8" s="13"/>
    </row>
    <row r="9">
      <c r="D9" s="13"/>
    </row>
    <row r="10">
      <c r="D10" s="13"/>
    </row>
    <row r="11">
      <c r="D11" s="13"/>
    </row>
    <row r="12">
      <c r="D12" s="13"/>
    </row>
    <row r="13"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10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9">
        <v>0.0</v>
      </c>
      <c r="BU3" s="9">
        <v>0.0</v>
      </c>
      <c r="BV3" s="9">
        <v>0.0</v>
      </c>
      <c r="BW3" s="9">
        <v>0.0</v>
      </c>
      <c r="BX3" s="9">
        <v>0.0</v>
      </c>
      <c r="BY3" s="9">
        <v>0.0</v>
      </c>
      <c r="BZ3" s="9">
        <v>0.0</v>
      </c>
      <c r="CA3" s="9">
        <v>0.0</v>
      </c>
      <c r="CB3" s="9">
        <v>0.0</v>
      </c>
      <c r="CC3" s="9">
        <v>0.0</v>
      </c>
      <c r="CD3" s="9">
        <v>0.0</v>
      </c>
      <c r="CE3" s="9">
        <v>0.0</v>
      </c>
    </row>
    <row r="4">
      <c r="A4" s="1" t="s">
        <v>14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22</v>
      </c>
      <c r="C6" s="17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24</v>
      </c>
      <c r="C7" s="1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9" t="s">
        <v>26</v>
      </c>
      <c r="CC7" s="9" t="s">
        <v>26</v>
      </c>
      <c r="CD7" s="9">
        <v>166.0</v>
      </c>
      <c r="CE7" s="9">
        <v>267.0</v>
      </c>
    </row>
    <row r="8">
      <c r="A8" s="1" t="s">
        <v>27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9" t="s">
        <v>31</v>
      </c>
      <c r="CC8" s="9" t="s">
        <v>31</v>
      </c>
      <c r="CD8" s="9">
        <v>135.0</v>
      </c>
      <c r="CE8" s="9" t="s">
        <v>32</v>
      </c>
    </row>
    <row r="9">
      <c r="A9" s="1" t="s">
        <v>33</v>
      </c>
      <c r="C9" s="17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35</v>
      </c>
      <c r="C10" s="1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40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42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45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1" t="s">
        <v>49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4"/>
    </row>
    <row r="18">
      <c r="A18" s="1" t="s">
        <v>15</v>
      </c>
      <c r="C18" s="24"/>
    </row>
    <row r="19">
      <c r="A19" s="1" t="s">
        <v>51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53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55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59</v>
      </c>
      <c r="C23" s="17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6</v>
      </c>
      <c r="B2" s="1"/>
      <c r="C2" s="1"/>
      <c r="D2" s="8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6" t="s">
        <v>11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1" t="s">
        <v>18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0">
        <v>10195.0</v>
      </c>
      <c r="AN4" s="10">
        <v>9844.0</v>
      </c>
      <c r="AO4" s="10">
        <v>9337.0</v>
      </c>
      <c r="AP4" s="10">
        <v>8843.0</v>
      </c>
      <c r="AQ4" s="10">
        <v>8416.0</v>
      </c>
      <c r="AR4" s="10">
        <v>8137.0</v>
      </c>
      <c r="AS4" s="10">
        <v>7778.0</v>
      </c>
      <c r="AT4" s="10">
        <v>7361.0</v>
      </c>
      <c r="AU4" s="10">
        <v>7169.0</v>
      </c>
      <c r="AV4" s="10">
        <v>6881.0</v>
      </c>
      <c r="AW4" s="10">
        <v>6440.0</v>
      </c>
      <c r="AX4" s="10">
        <v>6223.0</v>
      </c>
      <c r="AY4" s="10">
        <v>5953.0</v>
      </c>
      <c r="AZ4" s="10">
        <v>5577.0</v>
      </c>
      <c r="BA4" s="10">
        <v>5492.0</v>
      </c>
      <c r="BB4" s="10">
        <v>5362.0</v>
      </c>
      <c r="BC4" s="10">
        <v>4918.0</v>
      </c>
      <c r="BD4" s="10">
        <v>4791.0</v>
      </c>
      <c r="BE4" s="10">
        <v>4443.0</v>
      </c>
      <c r="BF4" s="10">
        <v>4446.0</v>
      </c>
      <c r="BG4" s="10">
        <v>4303.0</v>
      </c>
      <c r="BH4" s="10">
        <v>4063.0</v>
      </c>
      <c r="BI4" s="10">
        <v>3969.0</v>
      </c>
      <c r="BJ4" s="10">
        <v>3919.0</v>
      </c>
      <c r="BK4" s="10">
        <v>3869.0</v>
      </c>
      <c r="BL4" s="10">
        <v>3814.0</v>
      </c>
      <c r="BM4" s="10">
        <v>3743.0</v>
      </c>
      <c r="BN4" s="10">
        <v>3724.0</v>
      </c>
      <c r="BO4" s="10">
        <v>3687.0</v>
      </c>
      <c r="BP4" s="18" t="s">
        <v>19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20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0">
        <v>699.0</v>
      </c>
      <c r="AN5" s="10">
        <v>708.0</v>
      </c>
      <c r="AO5" s="10">
        <v>714.0</v>
      </c>
      <c r="AP5" s="10">
        <v>700.0</v>
      </c>
      <c r="AQ5" s="10">
        <v>708.0</v>
      </c>
      <c r="AR5" s="10">
        <v>704.0</v>
      </c>
      <c r="AS5" s="10">
        <v>671.0</v>
      </c>
      <c r="AT5" s="10">
        <v>654.0</v>
      </c>
      <c r="AU5" s="10">
        <v>642.0</v>
      </c>
      <c r="AV5" s="10">
        <v>638.0</v>
      </c>
      <c r="AW5" s="10">
        <v>608.0</v>
      </c>
      <c r="AX5" s="10">
        <v>588.0</v>
      </c>
      <c r="AY5" s="10">
        <v>569.0</v>
      </c>
      <c r="AZ5" s="10">
        <v>552.0</v>
      </c>
      <c r="BA5" s="10">
        <v>534.0</v>
      </c>
      <c r="BB5" s="10">
        <v>553.0</v>
      </c>
      <c r="BC5" s="10">
        <v>522.0</v>
      </c>
      <c r="BD5" s="10">
        <v>505.0</v>
      </c>
      <c r="BE5" s="10">
        <v>486.0</v>
      </c>
      <c r="BF5" s="10">
        <v>486.0</v>
      </c>
      <c r="BG5" s="10">
        <v>468.0</v>
      </c>
      <c r="BH5" s="10">
        <v>446.0</v>
      </c>
      <c r="BI5" s="10">
        <v>458.0</v>
      </c>
      <c r="BJ5" s="10">
        <v>454.0</v>
      </c>
      <c r="BK5" s="10">
        <v>461.0</v>
      </c>
      <c r="BL5" s="10">
        <v>444.0</v>
      </c>
      <c r="BM5" s="10">
        <v>447.0</v>
      </c>
      <c r="BN5" s="10">
        <v>451.0</v>
      </c>
      <c r="BO5" s="10">
        <v>445.0</v>
      </c>
      <c r="BP5" s="10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9">
        <v>144.0</v>
      </c>
      <c r="CD5" s="20">
        <v>135.0</v>
      </c>
    </row>
    <row r="6">
      <c r="A6" s="1" t="s">
        <v>23</v>
      </c>
      <c r="D6" s="1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9">
        <v>17.0</v>
      </c>
      <c r="CD6" s="20">
        <v>48.0</v>
      </c>
    </row>
    <row r="7">
      <c r="A7" s="1" t="s">
        <v>25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0">
        <v>269.0</v>
      </c>
      <c r="AN7" s="10">
        <v>283.0</v>
      </c>
      <c r="AO7" s="10">
        <v>296.0</v>
      </c>
      <c r="AP7" s="10">
        <v>299.0</v>
      </c>
      <c r="AQ7" s="10">
        <v>306.0</v>
      </c>
      <c r="AR7" s="10">
        <v>303.0</v>
      </c>
      <c r="AS7" s="10">
        <v>298.0</v>
      </c>
      <c r="AT7" s="10">
        <v>292.0</v>
      </c>
      <c r="AU7" s="10">
        <v>282.0</v>
      </c>
      <c r="AV7" s="10">
        <v>281.0</v>
      </c>
      <c r="AW7" s="10">
        <v>282.0</v>
      </c>
      <c r="AX7" s="21" t="s">
        <v>28</v>
      </c>
      <c r="AY7" s="10">
        <v>272.0</v>
      </c>
      <c r="AZ7" s="10">
        <v>270.0</v>
      </c>
      <c r="BA7" s="10">
        <v>267.0</v>
      </c>
      <c r="BB7" s="10">
        <v>298.0</v>
      </c>
      <c r="BC7" s="10">
        <v>262.0</v>
      </c>
      <c r="BD7" s="10">
        <v>272.0</v>
      </c>
      <c r="BE7" s="10">
        <v>254.0</v>
      </c>
      <c r="BF7" s="10">
        <v>267.0</v>
      </c>
      <c r="BG7" s="10">
        <v>256.0</v>
      </c>
      <c r="BH7" s="10">
        <v>248.0</v>
      </c>
      <c r="BI7" s="10">
        <v>260.0</v>
      </c>
      <c r="BJ7" s="10">
        <v>248.0</v>
      </c>
      <c r="BK7" s="10">
        <v>249.0</v>
      </c>
      <c r="BL7" s="10">
        <v>241.0</v>
      </c>
      <c r="BM7" s="10">
        <v>232.0</v>
      </c>
      <c r="BN7" s="10">
        <v>229.0</v>
      </c>
      <c r="BO7" s="10">
        <v>221.0</v>
      </c>
      <c r="BP7" s="10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9">
        <v>44.0</v>
      </c>
      <c r="CD7" s="20">
        <v>39.0</v>
      </c>
    </row>
    <row r="8">
      <c r="A8" s="1" t="s">
        <v>30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0">
        <v>133.0</v>
      </c>
      <c r="AN8" s="10">
        <v>139.0</v>
      </c>
      <c r="AO8" s="10">
        <v>131.0</v>
      </c>
      <c r="AP8" s="10">
        <v>137.0</v>
      </c>
      <c r="AQ8" s="10">
        <v>132.0</v>
      </c>
      <c r="AR8" s="10">
        <v>110.0</v>
      </c>
      <c r="AS8" s="10">
        <v>120.0</v>
      </c>
      <c r="AT8" s="10">
        <v>121.0</v>
      </c>
      <c r="AU8" s="10">
        <v>116.0</v>
      </c>
      <c r="AV8" s="10">
        <v>105.0</v>
      </c>
      <c r="AW8" s="10">
        <v>103.0</v>
      </c>
      <c r="AX8" s="10">
        <v>101.0</v>
      </c>
      <c r="AY8" s="10">
        <v>96.0</v>
      </c>
      <c r="AZ8" s="10">
        <v>92.0</v>
      </c>
      <c r="BA8" s="10">
        <v>87.0</v>
      </c>
      <c r="BB8" s="10">
        <v>83.0</v>
      </c>
      <c r="BC8" s="10">
        <v>67.0</v>
      </c>
      <c r="BD8" s="10">
        <v>77.0</v>
      </c>
      <c r="BE8" s="10">
        <v>72.0</v>
      </c>
      <c r="BF8" s="10">
        <v>71.0</v>
      </c>
      <c r="BG8" s="10">
        <v>72.0</v>
      </c>
      <c r="BH8" s="10">
        <v>69.0</v>
      </c>
      <c r="BI8" s="10">
        <v>69.0</v>
      </c>
      <c r="BJ8" s="10">
        <v>68.0</v>
      </c>
      <c r="BK8" s="10">
        <v>60.0</v>
      </c>
      <c r="BL8" s="10">
        <v>66.0</v>
      </c>
      <c r="BM8" s="10">
        <v>59.0</v>
      </c>
      <c r="BN8" s="10">
        <v>62.0</v>
      </c>
      <c r="BO8" s="10">
        <v>68.0</v>
      </c>
      <c r="BP8" s="10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9">
        <v>22.0</v>
      </c>
      <c r="CD8" s="20">
        <v>20.0</v>
      </c>
    </row>
    <row r="9">
      <c r="A9" s="1" t="s">
        <v>34</v>
      </c>
      <c r="D9" s="13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0">
        <v>135.0</v>
      </c>
      <c r="AN9" s="10">
        <v>127.0</v>
      </c>
      <c r="AO9" s="10">
        <v>113.0</v>
      </c>
      <c r="AP9" s="10">
        <v>117.0</v>
      </c>
      <c r="AQ9" s="10">
        <v>101.0</v>
      </c>
      <c r="AR9" s="10">
        <v>92.0</v>
      </c>
      <c r="AS9" s="10">
        <v>78.0</v>
      </c>
      <c r="AT9" s="10">
        <v>85.0</v>
      </c>
      <c r="AU9" s="10">
        <v>79.0</v>
      </c>
      <c r="AV9" s="10">
        <v>67.0</v>
      </c>
      <c r="AW9" s="10">
        <v>61.0</v>
      </c>
      <c r="AX9" s="10">
        <v>56.0</v>
      </c>
      <c r="AY9" s="10">
        <v>60.0</v>
      </c>
      <c r="AZ9" s="10">
        <v>54.0</v>
      </c>
      <c r="BA9" s="10">
        <v>46.0</v>
      </c>
      <c r="BB9" s="10">
        <v>49.0</v>
      </c>
      <c r="BC9" s="10">
        <v>40.0</v>
      </c>
      <c r="BD9" s="10">
        <v>50.0</v>
      </c>
      <c r="BE9" s="10">
        <v>45.0</v>
      </c>
      <c r="BF9" s="10">
        <v>58.0</v>
      </c>
      <c r="BG9" s="10">
        <v>60.0</v>
      </c>
      <c r="BH9" s="10">
        <v>57.0</v>
      </c>
      <c r="BI9" s="10">
        <v>60.0</v>
      </c>
      <c r="BJ9" s="10">
        <v>67.0</v>
      </c>
      <c r="BK9" s="10">
        <v>61.0</v>
      </c>
      <c r="BL9" s="10">
        <v>64.0</v>
      </c>
      <c r="BM9" s="10">
        <v>66.0</v>
      </c>
      <c r="BN9" s="10">
        <v>63.0</v>
      </c>
      <c r="BO9" s="10">
        <v>61.0</v>
      </c>
      <c r="BP9" s="10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9">
        <v>28.0</v>
      </c>
      <c r="CD9" s="20">
        <v>18.0</v>
      </c>
    </row>
    <row r="10">
      <c r="A10" s="1" t="s">
        <v>37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0">
        <v>22.0</v>
      </c>
      <c r="AN10" s="10">
        <v>19.0</v>
      </c>
      <c r="AO10" s="10">
        <v>16.0</v>
      </c>
      <c r="AP10" s="10">
        <v>15.0</v>
      </c>
      <c r="AQ10" s="10">
        <v>12.0</v>
      </c>
      <c r="AR10" s="10">
        <v>17.0</v>
      </c>
      <c r="AS10" s="10">
        <v>18.0</v>
      </c>
      <c r="AT10" s="10">
        <v>13.0</v>
      </c>
      <c r="AU10" s="10">
        <v>17.0</v>
      </c>
      <c r="AV10" s="10">
        <v>16.0</v>
      </c>
      <c r="AW10" s="10">
        <v>16.0</v>
      </c>
      <c r="AX10" s="10">
        <v>12.0</v>
      </c>
      <c r="AY10" s="10">
        <v>13.0</v>
      </c>
      <c r="AZ10" s="10">
        <v>11.0</v>
      </c>
      <c r="BA10" s="10"/>
      <c r="BB10" s="10"/>
      <c r="BC10" s="10"/>
      <c r="BD10" s="10">
        <v>14.0</v>
      </c>
      <c r="BE10" s="10">
        <v>11.0</v>
      </c>
      <c r="BF10" s="10">
        <v>17.0</v>
      </c>
      <c r="BG10" s="10">
        <v>24.0</v>
      </c>
      <c r="BH10" s="10">
        <v>24.0</v>
      </c>
      <c r="BI10" s="10">
        <v>24.0</v>
      </c>
      <c r="BJ10" s="10">
        <v>22.0</v>
      </c>
      <c r="BK10" s="10">
        <v>22.0</v>
      </c>
      <c r="BL10" s="10">
        <v>22.0</v>
      </c>
      <c r="BM10" s="10">
        <v>22.0</v>
      </c>
      <c r="BN10" s="10">
        <v>22.0</v>
      </c>
      <c r="BO10" s="10">
        <v>21.0</v>
      </c>
      <c r="BP10" s="10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9">
        <v>14.0</v>
      </c>
      <c r="CD10" s="20">
        <v>14.0</v>
      </c>
    </row>
    <row r="11">
      <c r="A11" s="1" t="s">
        <v>39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0">
        <v>51.0</v>
      </c>
      <c r="AN11" s="10">
        <v>41.0</v>
      </c>
      <c r="AO11" s="10">
        <v>47.0</v>
      </c>
      <c r="AP11" s="10">
        <v>40.0</v>
      </c>
      <c r="AQ11" s="10">
        <v>38.0</v>
      </c>
      <c r="AR11" s="10">
        <v>47.0</v>
      </c>
      <c r="AS11" s="10">
        <v>44.0</v>
      </c>
      <c r="AT11" s="10">
        <v>38.0</v>
      </c>
      <c r="AU11" s="10">
        <v>38.0</v>
      </c>
      <c r="AV11" s="10">
        <v>35.0</v>
      </c>
      <c r="AW11" s="10">
        <v>34.0</v>
      </c>
      <c r="AX11" s="10">
        <v>38.0</v>
      </c>
      <c r="AY11" s="10">
        <v>38.0</v>
      </c>
      <c r="AZ11" s="10">
        <v>36.0</v>
      </c>
      <c r="BA11" s="10">
        <v>26.0</v>
      </c>
      <c r="BB11" s="10">
        <v>30.0</v>
      </c>
      <c r="BC11" s="10">
        <v>16.0</v>
      </c>
      <c r="BD11" s="10">
        <v>26.0</v>
      </c>
      <c r="BE11" s="10">
        <v>23.0</v>
      </c>
      <c r="BF11" s="10">
        <v>22.0</v>
      </c>
      <c r="BG11" s="10">
        <v>29.0</v>
      </c>
      <c r="BH11" s="10">
        <v>26.0</v>
      </c>
      <c r="BI11" s="10">
        <v>26.0</v>
      </c>
      <c r="BJ11" s="10">
        <v>26.0</v>
      </c>
      <c r="BK11" s="10">
        <v>26.0</v>
      </c>
      <c r="BL11" s="10">
        <v>27.0</v>
      </c>
      <c r="BM11" s="10">
        <v>27.0</v>
      </c>
      <c r="BN11" s="10">
        <v>26.0</v>
      </c>
      <c r="BO11" s="10">
        <v>32.0</v>
      </c>
      <c r="BP11" s="10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9">
        <v>11.0</v>
      </c>
      <c r="CD11" s="20">
        <v>11.0</v>
      </c>
    </row>
    <row r="12">
      <c r="A12" s="1" t="s">
        <v>43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0"/>
      <c r="AN12" s="10">
        <v>10.0</v>
      </c>
      <c r="AO12" s="10">
        <v>10.0</v>
      </c>
      <c r="AP12" s="10">
        <v>10.0</v>
      </c>
      <c r="AQ12" s="10">
        <v>10.0</v>
      </c>
      <c r="AR12" s="10">
        <v>10.0</v>
      </c>
      <c r="AS12" s="10">
        <v>10.0</v>
      </c>
      <c r="AT12" s="10">
        <v>10.0</v>
      </c>
      <c r="AU12" s="10">
        <v>10.0</v>
      </c>
      <c r="AV12" s="10">
        <v>10.0</v>
      </c>
      <c r="AW12" s="10">
        <v>10.0</v>
      </c>
      <c r="AX12" s="10">
        <v>10.0</v>
      </c>
      <c r="AY12" s="10">
        <v>10.0</v>
      </c>
      <c r="AZ12" s="10">
        <v>10.0</v>
      </c>
      <c r="BA12" s="10">
        <v>10.0</v>
      </c>
      <c r="BB12" s="10">
        <v>10.0</v>
      </c>
      <c r="BC12" s="10">
        <v>10.0</v>
      </c>
      <c r="BD12" s="10">
        <v>10.0</v>
      </c>
      <c r="BE12" s="10">
        <v>10.0</v>
      </c>
      <c r="BF12" s="10">
        <v>10.0</v>
      </c>
      <c r="BG12" s="10">
        <v>10.0</v>
      </c>
      <c r="BH12" s="10">
        <v>10.0</v>
      </c>
      <c r="BI12" s="10">
        <v>10.0</v>
      </c>
      <c r="BJ12" s="10">
        <v>10.0</v>
      </c>
      <c r="BK12" s="10">
        <v>10.0</v>
      </c>
      <c r="BL12" s="10">
        <v>10.0</v>
      </c>
      <c r="BM12" s="10">
        <v>10.0</v>
      </c>
      <c r="BN12" s="10">
        <v>10.0</v>
      </c>
      <c r="BO12" s="10">
        <v>10.0</v>
      </c>
      <c r="BP12" s="10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9">
        <v>10.0</v>
      </c>
      <c r="CD12" s="20">
        <v>10.0</v>
      </c>
    </row>
    <row r="13">
      <c r="A13" s="1" t="s">
        <v>46</v>
      </c>
      <c r="D13" s="13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>
        <v>12.0</v>
      </c>
      <c r="BK13" s="10">
        <v>13.0</v>
      </c>
      <c r="BL13" s="10">
        <v>12.0</v>
      </c>
      <c r="BM13" s="10">
        <v>12.0</v>
      </c>
      <c r="BN13" s="10">
        <v>12.0</v>
      </c>
      <c r="BO13" s="10">
        <v>11.0</v>
      </c>
      <c r="BP13" s="10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1" t="s">
        <v>48</v>
      </c>
      <c r="D14" s="13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0">
        <v>15.0</v>
      </c>
      <c r="AN14" s="10">
        <v>16.0</v>
      </c>
      <c r="AO14" s="10">
        <v>17.0</v>
      </c>
      <c r="AP14" s="10">
        <v>17.0</v>
      </c>
      <c r="AQ14" s="10">
        <v>15.0</v>
      </c>
      <c r="AR14" s="10">
        <v>16.0</v>
      </c>
      <c r="AS14" s="10">
        <v>16.0</v>
      </c>
      <c r="AT14" s="10">
        <v>16.0</v>
      </c>
      <c r="AU14" s="10">
        <v>13.0</v>
      </c>
      <c r="AV14" s="10">
        <v>14.0</v>
      </c>
      <c r="AW14" s="10">
        <v>12.0</v>
      </c>
      <c r="AX14" s="10">
        <v>13.0</v>
      </c>
      <c r="AY14" s="10">
        <v>12.0</v>
      </c>
      <c r="AZ14" s="10">
        <v>12.0</v>
      </c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1" t="s">
        <v>50</v>
      </c>
      <c r="D15" s="13"/>
      <c r="S15" s="13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0">
        <v>15.0</v>
      </c>
      <c r="AN15" s="10">
        <v>15.0</v>
      </c>
      <c r="AO15" s="10">
        <v>11.0</v>
      </c>
      <c r="AP15" s="10">
        <v>11.0</v>
      </c>
      <c r="AQ15" s="10">
        <v>10.0</v>
      </c>
      <c r="AR15" s="10">
        <v>11.0</v>
      </c>
      <c r="AS15" s="10">
        <v>12.0</v>
      </c>
      <c r="AT15" s="10">
        <v>11.0</v>
      </c>
      <c r="AU15" s="10">
        <v>13.0</v>
      </c>
      <c r="AV15" s="10">
        <v>13.0</v>
      </c>
      <c r="AW15" s="10">
        <v>12.0</v>
      </c>
      <c r="AX15" s="10">
        <v>11.0</v>
      </c>
      <c r="AY15" s="10">
        <v>11.0</v>
      </c>
      <c r="AZ15" s="10">
        <v>13.0</v>
      </c>
      <c r="BA15" s="10">
        <v>12.0</v>
      </c>
      <c r="BB15" s="10">
        <v>12.0</v>
      </c>
      <c r="BC15" s="10"/>
      <c r="BD15" s="10">
        <v>14.0</v>
      </c>
      <c r="BE15" s="10">
        <v>12.0</v>
      </c>
      <c r="BF15" s="10">
        <v>14.0</v>
      </c>
      <c r="BG15" s="10">
        <v>14.0</v>
      </c>
      <c r="BH15" s="10">
        <v>12.0</v>
      </c>
      <c r="BI15" s="10">
        <v>12.0</v>
      </c>
      <c r="BJ15" s="10">
        <v>15.0</v>
      </c>
      <c r="BK15" s="10">
        <v>16.0</v>
      </c>
      <c r="BL15" s="10">
        <v>19.0</v>
      </c>
      <c r="BM15" s="10">
        <v>18.0</v>
      </c>
      <c r="BN15" s="10">
        <v>18.0</v>
      </c>
      <c r="BO15" s="10">
        <v>17.0</v>
      </c>
      <c r="BP15" s="10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1" t="s">
        <v>52</v>
      </c>
      <c r="B16" s="1">
        <v>10.0</v>
      </c>
      <c r="C16" s="1">
        <v>10.0</v>
      </c>
      <c r="D16" s="13"/>
      <c r="S16" s="13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0">
        <v>12.0</v>
      </c>
      <c r="AN16" s="10">
        <v>10.0</v>
      </c>
      <c r="AO16" s="10">
        <v>12.0</v>
      </c>
      <c r="AP16" s="10">
        <v>13.0</v>
      </c>
      <c r="AQ16" s="10">
        <v>13.0</v>
      </c>
      <c r="AR16" s="10">
        <v>13.0</v>
      </c>
      <c r="AS16" s="10">
        <v>13.0</v>
      </c>
      <c r="AT16" s="10">
        <v>13.0</v>
      </c>
      <c r="AU16" s="10">
        <v>13.0</v>
      </c>
      <c r="AV16" s="10">
        <v>13.0</v>
      </c>
      <c r="AW16" s="10">
        <v>12.0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1" t="s">
        <v>54</v>
      </c>
      <c r="B17" s="1">
        <v>10.0</v>
      </c>
      <c r="C17" s="1">
        <v>10.0</v>
      </c>
      <c r="D17" s="13"/>
      <c r="S17" s="13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58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3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>
        <v>14.0</v>
      </c>
      <c r="BC18" s="10">
        <v>11.0</v>
      </c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1" t="s">
        <v>60</v>
      </c>
      <c r="D19" s="13"/>
      <c r="Q19" s="1">
        <v>10.0</v>
      </c>
      <c r="R19" s="1">
        <v>10.0</v>
      </c>
      <c r="S19" s="1">
        <v>10.0</v>
      </c>
      <c r="T19" s="17"/>
      <c r="U19" s="25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0">
        <v>22.0</v>
      </c>
      <c r="AN19" s="10">
        <v>20.0</v>
      </c>
      <c r="AO19" s="10">
        <v>20.0</v>
      </c>
      <c r="AP19" s="10">
        <v>20.0</v>
      </c>
      <c r="AQ19" s="10">
        <v>20.0</v>
      </c>
      <c r="AR19" s="10">
        <v>18.0</v>
      </c>
      <c r="AS19" s="10">
        <v>17.0</v>
      </c>
      <c r="AT19" s="10">
        <v>16.0</v>
      </c>
      <c r="AU19" s="10">
        <v>16.0</v>
      </c>
      <c r="AV19" s="10">
        <v>15.0</v>
      </c>
      <c r="AW19" s="10">
        <v>15.0</v>
      </c>
      <c r="AX19" s="10">
        <v>15.0</v>
      </c>
      <c r="AY19" s="10">
        <v>15.0</v>
      </c>
      <c r="AZ19" s="10">
        <v>12.0</v>
      </c>
      <c r="BA19" s="10">
        <v>12.0</v>
      </c>
      <c r="BB19" s="10">
        <v>15.0</v>
      </c>
      <c r="BC19" s="10"/>
      <c r="BD19" s="10">
        <v>15.0</v>
      </c>
      <c r="BE19" s="10">
        <v>15.0</v>
      </c>
      <c r="BF19" s="10">
        <v>14.0</v>
      </c>
      <c r="BG19" s="10">
        <v>19.0</v>
      </c>
      <c r="BH19" s="10">
        <v>16.0</v>
      </c>
      <c r="BI19" s="10">
        <v>15.0</v>
      </c>
      <c r="BJ19" s="10">
        <v>15.0</v>
      </c>
      <c r="BK19" s="10">
        <v>15.0</v>
      </c>
      <c r="BL19" s="10">
        <v>15.0</v>
      </c>
      <c r="BM19" s="10">
        <v>16.0</v>
      </c>
      <c r="BN19" s="10">
        <v>16.0</v>
      </c>
      <c r="BO19" s="10">
        <v>16.0</v>
      </c>
      <c r="BP19" s="10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1" t="s">
        <v>61</v>
      </c>
      <c r="D20" s="13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0">
        <v>16.0</v>
      </c>
      <c r="AN20" s="10">
        <v>16.0</v>
      </c>
      <c r="AO20" s="10">
        <v>16.0</v>
      </c>
      <c r="AP20" s="10">
        <v>16.0</v>
      </c>
      <c r="AQ20" s="10">
        <v>16.0</v>
      </c>
      <c r="AR20" s="10">
        <v>16.0</v>
      </c>
      <c r="AS20" s="10">
        <v>15.0</v>
      </c>
      <c r="AT20" s="10">
        <v>12.0</v>
      </c>
      <c r="AU20" s="10">
        <v>11.0</v>
      </c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1" t="s">
        <v>63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0">
        <v>32.0</v>
      </c>
      <c r="AN21" s="10">
        <v>27.0</v>
      </c>
      <c r="AO21" s="10">
        <v>34.0</v>
      </c>
      <c r="AP21" s="10">
        <v>34.0</v>
      </c>
      <c r="AQ21" s="10">
        <v>32.0</v>
      </c>
      <c r="AR21" s="10">
        <v>30.0</v>
      </c>
      <c r="AS21" s="10">
        <v>24.0</v>
      </c>
      <c r="AT21" s="10">
        <v>24.0</v>
      </c>
      <c r="AU21" s="10">
        <v>18.0</v>
      </c>
      <c r="AV21" s="10">
        <v>16.0</v>
      </c>
      <c r="AW21" s="10">
        <v>20.0</v>
      </c>
      <c r="AX21" s="10">
        <v>21.0</v>
      </c>
      <c r="AY21" s="10">
        <v>17.0</v>
      </c>
      <c r="AZ21" s="10">
        <v>21.0</v>
      </c>
      <c r="BA21" s="10">
        <v>21.0</v>
      </c>
      <c r="BB21" s="10">
        <v>24.0</v>
      </c>
      <c r="BC21" s="10">
        <v>21.0</v>
      </c>
      <c r="BD21" s="10">
        <v>26.0</v>
      </c>
      <c r="BE21" s="10">
        <v>20.0</v>
      </c>
      <c r="BF21" s="10">
        <v>23.0</v>
      </c>
      <c r="BG21" s="10">
        <v>35.0</v>
      </c>
      <c r="BH21" s="10">
        <v>35.0</v>
      </c>
      <c r="BI21" s="10">
        <v>35.0</v>
      </c>
      <c r="BJ21" s="10">
        <v>35.0</v>
      </c>
      <c r="BK21" s="10">
        <v>37.0</v>
      </c>
      <c r="BL21" s="10">
        <v>42.0</v>
      </c>
      <c r="BM21" s="10">
        <v>42.0</v>
      </c>
      <c r="BN21" s="10">
        <v>41.0</v>
      </c>
      <c r="BO21" s="10">
        <v>45.0</v>
      </c>
      <c r="BP21" s="10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1" t="s">
        <v>64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1" t="s">
        <v>66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0">
        <v>26.0</v>
      </c>
      <c r="AN23" s="10">
        <v>25.0</v>
      </c>
      <c r="AO23" s="10">
        <v>23.0</v>
      </c>
      <c r="AP23" s="10">
        <v>23.0</v>
      </c>
      <c r="AQ23" s="10">
        <v>21.0</v>
      </c>
      <c r="AR23" s="10">
        <v>20.0</v>
      </c>
      <c r="AS23" s="10">
        <v>19.0</v>
      </c>
      <c r="AT23" s="10">
        <v>18.0</v>
      </c>
      <c r="AU23" s="10">
        <v>19.0</v>
      </c>
      <c r="AV23" s="10">
        <v>19.0</v>
      </c>
      <c r="AW23" s="10">
        <v>23.0</v>
      </c>
      <c r="AX23" s="10">
        <v>24.0</v>
      </c>
      <c r="AY23" s="10">
        <v>24.0</v>
      </c>
      <c r="AZ23" s="10">
        <v>20.0</v>
      </c>
      <c r="BA23" s="10">
        <v>19.0</v>
      </c>
      <c r="BB23" s="10">
        <v>24.0</v>
      </c>
      <c r="BC23" s="10">
        <v>14.0</v>
      </c>
      <c r="BD23" s="10">
        <v>25.0</v>
      </c>
      <c r="BE23" s="10">
        <v>23.0</v>
      </c>
      <c r="BF23" s="10">
        <v>24.0</v>
      </c>
      <c r="BG23" s="10">
        <v>25.0</v>
      </c>
      <c r="BH23" s="10">
        <v>23.0</v>
      </c>
      <c r="BI23" s="10">
        <v>24.0</v>
      </c>
      <c r="BJ23" s="10">
        <v>26.0</v>
      </c>
      <c r="BK23" s="10">
        <v>24.0</v>
      </c>
      <c r="BL23" s="10">
        <v>24.0</v>
      </c>
      <c r="BM23" s="10">
        <v>24.0</v>
      </c>
      <c r="BN23" s="10">
        <v>24.0</v>
      </c>
      <c r="BO23" s="10">
        <v>24.0</v>
      </c>
      <c r="BP23" s="10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1" t="s">
        <v>68</v>
      </c>
      <c r="B24" s="1">
        <v>11.0</v>
      </c>
      <c r="C24" s="1">
        <v>11.0</v>
      </c>
      <c r="D24" s="13"/>
      <c r="E24" s="13"/>
      <c r="F24" s="13"/>
      <c r="T24" s="32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70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24"/>
      <c r="AI25" s="33"/>
      <c r="AJ25" s="33"/>
      <c r="AK25" s="33"/>
      <c r="AL25" s="33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4">
        <v>20.0</v>
      </c>
      <c r="BR25" s="34">
        <v>20.0</v>
      </c>
      <c r="BS25" s="34">
        <v>19.0</v>
      </c>
      <c r="BT25" s="34">
        <v>19.0</v>
      </c>
      <c r="BU25" s="34">
        <v>18.0</v>
      </c>
      <c r="BV25" s="34">
        <v>17.0</v>
      </c>
      <c r="BW25" s="34">
        <v>13.0</v>
      </c>
      <c r="BX25" s="34">
        <v>12.0</v>
      </c>
      <c r="BY25" s="34">
        <v>11.0</v>
      </c>
      <c r="BZ25" s="34">
        <v>11.0</v>
      </c>
      <c r="CA25" s="34"/>
      <c r="CB25" s="34"/>
      <c r="CC25" s="34"/>
      <c r="CD25" s="34"/>
    </row>
    <row r="26">
      <c r="A26" s="1" t="s">
        <v>72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7">
        <v>2215.0</v>
      </c>
      <c r="S26" s="17">
        <v>2215.0</v>
      </c>
      <c r="T26" s="17">
        <v>2216.0</v>
      </c>
      <c r="U26" s="17">
        <v>2325.0</v>
      </c>
      <c r="V26" s="17">
        <v>2432.0</v>
      </c>
      <c r="W26" s="17">
        <v>2569.0</v>
      </c>
      <c r="X26" s="17">
        <v>2490.0</v>
      </c>
      <c r="Y26" s="17">
        <v>2444.0</v>
      </c>
      <c r="Z26" s="17">
        <v>2693.0</v>
      </c>
      <c r="AA26" s="17">
        <v>2819.0</v>
      </c>
      <c r="AB26" s="17">
        <v>3052.0</v>
      </c>
      <c r="AC26" s="17">
        <v>3360.0</v>
      </c>
      <c r="AD26" s="17">
        <v>3603.0</v>
      </c>
      <c r="AE26" s="17">
        <v>3316.0</v>
      </c>
      <c r="AF26" s="17">
        <v>2727.0</v>
      </c>
      <c r="AG26" s="17">
        <v>2568.0</v>
      </c>
      <c r="AH26" s="24">
        <v>2568.0</v>
      </c>
      <c r="AI26" s="33">
        <v>1446.0</v>
      </c>
      <c r="AJ26" s="33">
        <v>1266.0</v>
      </c>
      <c r="AK26" s="33">
        <v>1175.0</v>
      </c>
      <c r="AL26" s="33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</row>
    <row r="27">
      <c r="D27" s="35"/>
      <c r="E27" s="13"/>
      <c r="F27" s="13"/>
      <c r="J27" s="13"/>
      <c r="T27" s="36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3"/>
      <c r="E28" s="13"/>
      <c r="F28" s="13"/>
      <c r="J28" s="13"/>
      <c r="T28" s="36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3"/>
      <c r="F29" s="13"/>
      <c r="J29" s="13"/>
      <c r="T29" s="36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3"/>
      <c r="F30" s="13"/>
      <c r="J30" s="13"/>
      <c r="T30" s="13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3"/>
      <c r="F31" s="13"/>
      <c r="J31" s="13"/>
      <c r="T31" s="13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3"/>
      <c r="F32" s="13"/>
      <c r="J32" s="13"/>
      <c r="T32" s="13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3"/>
      <c r="F33" s="13"/>
      <c r="J33" s="13"/>
      <c r="T33" s="13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3"/>
      <c r="F34" s="13"/>
      <c r="J34" s="13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3"/>
      <c r="F35" s="13"/>
      <c r="J35" s="13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3"/>
      <c r="F36" s="13"/>
      <c r="J36" s="13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3"/>
      <c r="F37" s="13"/>
      <c r="J37" s="13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3"/>
      <c r="J38" s="13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3"/>
      <c r="J39" s="13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3"/>
      <c r="J40" s="13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3"/>
      <c r="J41" s="13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3"/>
      <c r="J42" s="13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3"/>
      <c r="J43" s="13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3"/>
      <c r="J44" s="13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3"/>
      <c r="J45" s="13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3"/>
      <c r="J46" s="13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3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3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3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3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3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3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3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3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3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3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3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29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1" t="s">
        <v>36</v>
      </c>
      <c r="B2" s="13"/>
      <c r="F2" s="13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1" t="s">
        <v>38</v>
      </c>
      <c r="B3" s="1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1" t="s">
        <v>41</v>
      </c>
      <c r="B4" s="24"/>
      <c r="F4" s="13"/>
      <c r="H4" s="17">
        <v>3.0</v>
      </c>
      <c r="I4" s="17">
        <v>0.0</v>
      </c>
      <c r="J4" s="17">
        <v>0.0</v>
      </c>
      <c r="K4" s="17">
        <v>0.0</v>
      </c>
      <c r="L4" s="17">
        <v>8.0</v>
      </c>
      <c r="M4" s="17">
        <v>0.0</v>
      </c>
      <c r="N4" s="17">
        <v>0.0</v>
      </c>
      <c r="O4" s="17">
        <v>21.0</v>
      </c>
      <c r="P4" s="17">
        <v>0.0</v>
      </c>
      <c r="Q4" s="17">
        <v>8.0</v>
      </c>
      <c r="R4" s="17">
        <v>22.0</v>
      </c>
      <c r="S4" s="17">
        <v>28.0</v>
      </c>
      <c r="T4" s="17">
        <v>3.0</v>
      </c>
      <c r="U4" s="17">
        <v>10.0</v>
      </c>
      <c r="V4" s="17">
        <v>0.0</v>
      </c>
      <c r="W4" s="17">
        <v>1.0</v>
      </c>
      <c r="X4" s="17">
        <v>0.0</v>
      </c>
      <c r="Y4" s="17">
        <v>3.0</v>
      </c>
      <c r="Z4" s="17">
        <v>0.0</v>
      </c>
      <c r="AA4" s="17">
        <v>0.0</v>
      </c>
      <c r="AB4" s="17">
        <v>0.0</v>
      </c>
      <c r="AC4" s="17">
        <v>0.0</v>
      </c>
      <c r="AD4" s="17">
        <v>0.0</v>
      </c>
      <c r="AE4" s="17">
        <v>1.0</v>
      </c>
      <c r="AF4" s="17">
        <v>0.0</v>
      </c>
      <c r="AG4" s="17">
        <v>3.0</v>
      </c>
      <c r="AH4" s="24">
        <v>0.0</v>
      </c>
      <c r="AI4" s="1">
        <v>0.0</v>
      </c>
      <c r="AJ4" s="1">
        <v>0.0</v>
      </c>
      <c r="AK4" s="1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1" t="s">
        <v>44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1" t="s">
        <v>47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56</v>
      </c>
      <c r="C7" s="17">
        <v>35.0</v>
      </c>
      <c r="D7" s="17">
        <v>73.0</v>
      </c>
      <c r="E7" s="17">
        <v>213.0</v>
      </c>
      <c r="F7" s="17">
        <v>220.0</v>
      </c>
      <c r="G7" s="17">
        <v>115.0</v>
      </c>
      <c r="H7" s="17">
        <v>290.0</v>
      </c>
      <c r="I7" s="17">
        <v>295.0</v>
      </c>
      <c r="J7" s="17">
        <v>257.0</v>
      </c>
      <c r="K7" s="17">
        <v>316.0</v>
      </c>
      <c r="L7" s="17">
        <v>316.0</v>
      </c>
      <c r="M7" s="17">
        <v>473.0</v>
      </c>
      <c r="N7" s="17">
        <v>705.0</v>
      </c>
      <c r="O7" s="17">
        <v>472.0</v>
      </c>
      <c r="P7" s="17">
        <v>705.0</v>
      </c>
      <c r="Q7" s="17">
        <v>646.0</v>
      </c>
      <c r="R7" s="17">
        <v>579.0</v>
      </c>
      <c r="S7" s="17">
        <v>737.0</v>
      </c>
      <c r="T7" s="17">
        <v>744.0</v>
      </c>
      <c r="U7" s="17">
        <v>886.0</v>
      </c>
      <c r="V7" s="17">
        <v>803.0</v>
      </c>
      <c r="W7" s="17">
        <v>731.0</v>
      </c>
      <c r="X7" s="17">
        <v>471.0</v>
      </c>
      <c r="Y7" s="17">
        <v>414.0</v>
      </c>
      <c r="Z7" s="17">
        <v>303.0</v>
      </c>
      <c r="AA7" s="17">
        <v>58.0</v>
      </c>
      <c r="AB7" s="17">
        <v>36.0</v>
      </c>
      <c r="AC7" s="17">
        <v>29.0</v>
      </c>
      <c r="AD7" s="17">
        <v>12.0</v>
      </c>
      <c r="AE7" s="17">
        <v>30.0</v>
      </c>
      <c r="AF7" s="17">
        <v>20.0</v>
      </c>
      <c r="AG7" s="17">
        <v>1.0</v>
      </c>
      <c r="AH7" s="17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1" t="s">
        <v>62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1" t="s">
        <v>65</v>
      </c>
      <c r="B10" s="24"/>
      <c r="F10" s="13"/>
      <c r="J10" s="17">
        <v>556.0</v>
      </c>
      <c r="K10" s="17">
        <v>610.0</v>
      </c>
      <c r="L10" s="17">
        <v>783.0</v>
      </c>
      <c r="M10" s="17">
        <v>798.0</v>
      </c>
      <c r="N10" s="17">
        <v>814.0</v>
      </c>
      <c r="O10" s="17">
        <v>828.0</v>
      </c>
      <c r="P10" s="17">
        <v>996.0</v>
      </c>
      <c r="Q10" s="17">
        <v>992.0</v>
      </c>
      <c r="R10" s="17">
        <v>1000.0</v>
      </c>
      <c r="S10" s="17">
        <v>1198.0</v>
      </c>
      <c r="T10" s="17">
        <v>1151.0</v>
      </c>
      <c r="U10" s="17">
        <v>1302.0</v>
      </c>
      <c r="V10" s="17">
        <v>1283.0</v>
      </c>
      <c r="W10" s="17">
        <v>1269.0</v>
      </c>
      <c r="X10" s="17">
        <v>1269.0</v>
      </c>
      <c r="Y10" s="17">
        <v>1228.0</v>
      </c>
      <c r="Z10" s="17">
        <v>1194.0</v>
      </c>
      <c r="AA10" s="17">
        <v>1265.0</v>
      </c>
      <c r="AB10" s="17">
        <v>1247.0</v>
      </c>
      <c r="AC10" s="17">
        <v>1242.0</v>
      </c>
      <c r="AD10" s="17">
        <v>1226.0</v>
      </c>
      <c r="AE10" s="17">
        <v>1204.0</v>
      </c>
      <c r="AF10" s="17">
        <v>1200.0</v>
      </c>
      <c r="AG10" s="17">
        <v>1170.0</v>
      </c>
      <c r="AH10" s="24">
        <v>1155.0</v>
      </c>
      <c r="AI10" s="1">
        <v>1105.0</v>
      </c>
      <c r="AJ10" s="1">
        <v>1104.0</v>
      </c>
      <c r="AK10" s="1">
        <v>1025.0</v>
      </c>
      <c r="AL10" s="30">
        <v>986.0</v>
      </c>
      <c r="AM10" s="30">
        <v>1030.0</v>
      </c>
      <c r="AN10" s="30">
        <v>1029.0</v>
      </c>
      <c r="AO10" s="30">
        <v>1070.0</v>
      </c>
      <c r="AP10" s="30">
        <v>1014.0</v>
      </c>
      <c r="AQ10" s="30">
        <v>975.0</v>
      </c>
      <c r="AR10" s="30">
        <v>871.0</v>
      </c>
      <c r="AS10" s="30">
        <v>897.0</v>
      </c>
      <c r="AT10" s="30">
        <v>866.0</v>
      </c>
      <c r="AU10" s="30">
        <v>901.0</v>
      </c>
      <c r="AV10" s="30">
        <v>976.0</v>
      </c>
      <c r="AW10" s="30">
        <v>914.0</v>
      </c>
      <c r="AX10" s="30">
        <v>913.0</v>
      </c>
      <c r="AY10" s="30">
        <v>982.0</v>
      </c>
      <c r="AZ10" s="30">
        <v>998.0</v>
      </c>
      <c r="BA10" s="30">
        <v>1027.0</v>
      </c>
      <c r="BB10" s="30">
        <v>934.0</v>
      </c>
      <c r="BC10" s="30">
        <v>856.0</v>
      </c>
      <c r="BD10" s="30">
        <v>796.0</v>
      </c>
      <c r="BE10" s="30">
        <v>715.0</v>
      </c>
      <c r="BF10" s="30">
        <v>681.0</v>
      </c>
      <c r="BG10" s="30">
        <v>644.0</v>
      </c>
      <c r="BH10" s="30">
        <v>579.0</v>
      </c>
      <c r="BI10" s="30">
        <v>515.0</v>
      </c>
      <c r="BJ10" s="30">
        <v>495.0</v>
      </c>
      <c r="BK10" s="30">
        <v>477.0</v>
      </c>
      <c r="BL10" s="30">
        <v>438.0</v>
      </c>
      <c r="BM10" s="30">
        <v>426.0</v>
      </c>
      <c r="BN10" s="30">
        <v>411.0</v>
      </c>
      <c r="BO10" s="30">
        <v>400.0</v>
      </c>
      <c r="BP10" s="30">
        <v>403.0</v>
      </c>
      <c r="BQ10" s="30">
        <v>392.0</v>
      </c>
      <c r="BR10" s="30">
        <v>426.0</v>
      </c>
      <c r="BS10" s="30">
        <v>472.0</v>
      </c>
      <c r="BT10" s="30">
        <v>490.0</v>
      </c>
      <c r="BU10" s="30">
        <v>522.0</v>
      </c>
      <c r="BV10" s="30">
        <v>538.0</v>
      </c>
      <c r="BW10" s="30">
        <v>551.0</v>
      </c>
      <c r="BX10" s="30">
        <v>731.0</v>
      </c>
      <c r="BY10" s="30">
        <v>690.0</v>
      </c>
      <c r="BZ10" s="30">
        <v>730.0</v>
      </c>
      <c r="CA10" s="30">
        <v>827.0</v>
      </c>
      <c r="CB10" s="30">
        <v>732.0</v>
      </c>
      <c r="CC10" s="30">
        <v>654.0</v>
      </c>
      <c r="CD10" s="30">
        <v>591.0</v>
      </c>
      <c r="CE10" s="30">
        <v>538.0</v>
      </c>
    </row>
    <row r="11">
      <c r="A11" s="1" t="s">
        <v>67</v>
      </c>
      <c r="B11" s="31"/>
      <c r="F11" s="13"/>
      <c r="J11" s="24"/>
      <c r="O11" s="17"/>
      <c r="AG11" s="1"/>
      <c r="AH11" s="1"/>
      <c r="AI11" s="1"/>
      <c r="AJ11" s="1"/>
      <c r="AK11" s="1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1" t="s">
        <v>69</v>
      </c>
      <c r="B12" s="31"/>
      <c r="F12" s="13"/>
      <c r="J12" s="24"/>
      <c r="O12" s="17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1" t="s">
        <v>71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1" t="s">
        <v>73</v>
      </c>
      <c r="B14" s="31">
        <v>247.0</v>
      </c>
      <c r="C14" s="31">
        <v>248.0</v>
      </c>
      <c r="D14" s="31">
        <v>248.0</v>
      </c>
      <c r="E14" s="31">
        <v>243.0</v>
      </c>
      <c r="F14" s="31">
        <v>246.0</v>
      </c>
      <c r="G14" s="31">
        <v>248.0</v>
      </c>
      <c r="H14" s="31">
        <v>247.0</v>
      </c>
      <c r="I14" s="31">
        <v>248.0</v>
      </c>
      <c r="J14" s="31">
        <v>249.0</v>
      </c>
      <c r="K14" s="31">
        <v>240.0</v>
      </c>
      <c r="L14" s="31">
        <v>210.0</v>
      </c>
      <c r="M14" s="31">
        <v>248.0</v>
      </c>
      <c r="N14" s="31">
        <v>250.0</v>
      </c>
      <c r="O14" s="31">
        <v>247.0</v>
      </c>
      <c r="P14" s="31">
        <v>246.0</v>
      </c>
      <c r="Q14" s="31">
        <v>245.0</v>
      </c>
      <c r="R14" s="31">
        <v>250.0</v>
      </c>
      <c r="S14" s="31">
        <v>249.0</v>
      </c>
      <c r="T14" s="17">
        <v>249.0</v>
      </c>
      <c r="U14" s="17">
        <v>243.0</v>
      </c>
      <c r="V14" s="17">
        <v>248.0</v>
      </c>
      <c r="W14" s="17">
        <v>244.0</v>
      </c>
      <c r="X14" s="17">
        <v>246.0</v>
      </c>
      <c r="Y14" s="17">
        <v>248.0</v>
      </c>
      <c r="Z14" s="17">
        <v>246.0</v>
      </c>
      <c r="AA14" s="17">
        <v>241.0</v>
      </c>
      <c r="AB14" s="17">
        <v>245.0</v>
      </c>
      <c r="AC14" s="17">
        <v>248.0</v>
      </c>
      <c r="AD14" s="17">
        <v>248.0</v>
      </c>
      <c r="AE14" s="17">
        <v>256.0</v>
      </c>
      <c r="AF14" s="17">
        <v>259.0</v>
      </c>
      <c r="AG14" s="17">
        <v>260.0</v>
      </c>
      <c r="AH14" s="24">
        <v>257.0</v>
      </c>
      <c r="AI14" s="1">
        <v>232.0</v>
      </c>
      <c r="AJ14" s="1">
        <v>217.0</v>
      </c>
      <c r="AK14" s="1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1"/>
      <c r="Q15" s="31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1" t="s">
        <v>74</v>
      </c>
      <c r="B16" s="31"/>
      <c r="Q16" s="31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1" t="s">
        <v>76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40"/>
      <c r="AK17" s="40"/>
      <c r="AL17" s="30"/>
      <c r="AM17" s="30"/>
      <c r="AN17" s="30"/>
      <c r="AO17" s="30"/>
      <c r="AP17" s="30">
        <v>98.0</v>
      </c>
      <c r="AQ17" s="30">
        <v>79.0</v>
      </c>
      <c r="AR17" s="30">
        <v>69.0</v>
      </c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</row>
    <row r="18">
      <c r="A18" s="1" t="s">
        <v>77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40">
        <v>147.0</v>
      </c>
      <c r="AK18" s="40">
        <v>149.0</v>
      </c>
      <c r="AL18" s="30">
        <v>138.0</v>
      </c>
      <c r="AM18" s="30">
        <v>136.0</v>
      </c>
      <c r="AN18" s="30">
        <v>118.0</v>
      </c>
      <c r="AO18" s="30">
        <v>111.0</v>
      </c>
      <c r="AP18" s="30">
        <v>107.0</v>
      </c>
      <c r="AQ18" s="30">
        <v>109.0</v>
      </c>
      <c r="AR18" s="30">
        <v>115.0</v>
      </c>
      <c r="AS18" s="30">
        <v>90.0</v>
      </c>
      <c r="AT18" s="30">
        <v>78.0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</row>
    <row r="19">
      <c r="A19" s="1" t="s">
        <v>79</v>
      </c>
      <c r="B19" s="24"/>
      <c r="F19" s="13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0">
        <v>251.0</v>
      </c>
      <c r="AM19" s="30">
        <v>254.0</v>
      </c>
      <c r="AN19" s="30">
        <v>237.0</v>
      </c>
      <c r="AO19" s="30">
        <v>231.0</v>
      </c>
      <c r="AP19" s="30">
        <v>223.0</v>
      </c>
      <c r="AQ19" s="30">
        <v>208.0</v>
      </c>
      <c r="AR19" s="30">
        <v>195.0</v>
      </c>
      <c r="AS19" s="30">
        <v>40.0</v>
      </c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</row>
    <row r="20">
      <c r="A20" s="1" t="s">
        <v>80</v>
      </c>
      <c r="B20" s="24"/>
      <c r="F20" s="13"/>
      <c r="J20" s="2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1" t="s">
        <v>81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0">
        <v>208.0</v>
      </c>
      <c r="AM21" s="30">
        <v>203.0</v>
      </c>
      <c r="AN21" s="30">
        <v>191.0</v>
      </c>
      <c r="AO21" s="30">
        <v>183.0</v>
      </c>
      <c r="AP21" s="30">
        <v>182.0</v>
      </c>
      <c r="AQ21" s="30">
        <v>170.0</v>
      </c>
      <c r="AR21" s="30">
        <v>170.0</v>
      </c>
      <c r="AS21" s="30">
        <v>158.0</v>
      </c>
      <c r="AT21" s="30">
        <v>154.0</v>
      </c>
      <c r="AU21" s="30">
        <v>153.0</v>
      </c>
      <c r="AV21" s="30">
        <v>145.0</v>
      </c>
      <c r="AW21" s="30">
        <v>137.0</v>
      </c>
      <c r="AX21" s="30">
        <v>123.0</v>
      </c>
      <c r="AY21" s="30">
        <v>119.0</v>
      </c>
      <c r="AZ21" s="30">
        <v>110.0</v>
      </c>
      <c r="BA21" s="30">
        <v>99.0</v>
      </c>
      <c r="BB21" s="30">
        <v>111.0</v>
      </c>
      <c r="BC21" s="30">
        <v>101.0</v>
      </c>
      <c r="BD21" s="30">
        <v>91.0</v>
      </c>
      <c r="BE21" s="30">
        <v>56.0</v>
      </c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</row>
    <row r="22">
      <c r="A22" s="1" t="s">
        <v>82</v>
      </c>
      <c r="B22" s="24"/>
      <c r="F22" s="13"/>
      <c r="J22" s="2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0">
        <v>850.0</v>
      </c>
      <c r="AM22" s="30">
        <v>789.0</v>
      </c>
      <c r="AN22" s="30">
        <v>796.0</v>
      </c>
      <c r="AO22" s="30">
        <v>831.0</v>
      </c>
      <c r="AP22" s="30">
        <v>893.0</v>
      </c>
      <c r="AQ22" s="30">
        <v>881.0</v>
      </c>
      <c r="AR22" s="30">
        <v>891.0</v>
      </c>
      <c r="AS22" s="30">
        <v>860.0</v>
      </c>
      <c r="AT22" s="30">
        <v>879.0</v>
      </c>
      <c r="AU22" s="30">
        <v>822.0</v>
      </c>
      <c r="AV22" s="30">
        <v>794.0</v>
      </c>
      <c r="AW22" s="30">
        <v>711.0</v>
      </c>
      <c r="AX22" s="30">
        <v>752.0</v>
      </c>
      <c r="AY22" s="30">
        <v>720.0</v>
      </c>
      <c r="AZ22" s="30">
        <v>720.0</v>
      </c>
      <c r="BA22" s="30">
        <v>741.0</v>
      </c>
      <c r="BB22" s="30">
        <v>780.0</v>
      </c>
      <c r="BC22" s="30">
        <v>749.0</v>
      </c>
      <c r="BD22" s="30">
        <v>748.0</v>
      </c>
      <c r="BE22" s="30">
        <v>797.0</v>
      </c>
      <c r="BF22" s="30">
        <v>783.0</v>
      </c>
      <c r="BG22" s="30">
        <v>762.0</v>
      </c>
      <c r="BH22" s="30">
        <v>709.0</v>
      </c>
      <c r="BI22" s="30">
        <v>728.0</v>
      </c>
      <c r="BJ22" s="30">
        <v>718.0</v>
      </c>
      <c r="BK22" s="30">
        <v>702.0</v>
      </c>
      <c r="BL22" s="30">
        <v>702.0</v>
      </c>
      <c r="BM22" s="30">
        <v>713.0</v>
      </c>
      <c r="BN22" s="30">
        <v>762.0</v>
      </c>
      <c r="BO22" s="30">
        <v>771.0</v>
      </c>
      <c r="BP22" s="30">
        <v>812.0</v>
      </c>
      <c r="BQ22" s="30">
        <v>832.0</v>
      </c>
      <c r="BR22" s="30">
        <v>817.0</v>
      </c>
      <c r="BS22" s="30">
        <v>802.0</v>
      </c>
      <c r="BT22" s="30">
        <v>857.0</v>
      </c>
      <c r="BU22" s="30">
        <v>866.0</v>
      </c>
      <c r="BV22" s="30">
        <v>826.0</v>
      </c>
      <c r="BW22" s="30">
        <v>811.0</v>
      </c>
      <c r="BX22" s="30">
        <v>751.0</v>
      </c>
      <c r="BY22" s="30">
        <v>628.0</v>
      </c>
      <c r="BZ22" s="30">
        <v>529.0</v>
      </c>
      <c r="CA22" s="30">
        <v>425.0</v>
      </c>
      <c r="CB22" s="30">
        <v>312.0</v>
      </c>
      <c r="CC22" s="30">
        <v>185.0</v>
      </c>
      <c r="CD22" s="30">
        <v>123.0</v>
      </c>
      <c r="CE22" s="30"/>
    </row>
    <row r="23">
      <c r="A23" s="1" t="s">
        <v>83</v>
      </c>
      <c r="B23" s="2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0">
        <v>353.0</v>
      </c>
      <c r="AM23" s="30">
        <v>344.0</v>
      </c>
      <c r="AN23" s="30">
        <v>310.0</v>
      </c>
      <c r="AO23" s="30">
        <v>309.0</v>
      </c>
      <c r="AP23" s="30">
        <v>297.0</v>
      </c>
      <c r="AQ23" s="30">
        <v>279.0</v>
      </c>
      <c r="AR23" s="30">
        <v>258.0</v>
      </c>
      <c r="AS23" s="30">
        <v>226.0</v>
      </c>
      <c r="AT23" s="30">
        <v>80.0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</row>
    <row r="24">
      <c r="A24" s="1" t="s">
        <v>84</v>
      </c>
      <c r="B24" s="24"/>
      <c r="F24" s="13"/>
      <c r="J24" s="2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0">
        <v>2235.0</v>
      </c>
      <c r="AM24" s="30">
        <v>2150.0</v>
      </c>
      <c r="AN24" s="30">
        <v>2038.0</v>
      </c>
      <c r="AO24" s="30">
        <v>1896.0</v>
      </c>
      <c r="AP24" s="30">
        <v>1570.0</v>
      </c>
      <c r="AQ24" s="30">
        <v>1462.0</v>
      </c>
      <c r="AR24" s="30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4"/>
      <c r="F25" s="13"/>
      <c r="J25" s="2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1" t="s">
        <v>86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1" t="s">
        <v>87</v>
      </c>
      <c r="B27" s="24"/>
      <c r="F27" s="13"/>
      <c r="J27" s="24"/>
      <c r="O27" s="17">
        <v>377.0</v>
      </c>
      <c r="P27" s="17">
        <v>603.0</v>
      </c>
      <c r="Q27" s="17">
        <v>602.0</v>
      </c>
      <c r="R27" s="17">
        <v>598.0</v>
      </c>
      <c r="S27" s="17">
        <v>625.0</v>
      </c>
      <c r="T27" s="17">
        <v>616.0</v>
      </c>
      <c r="U27" s="17">
        <v>616.0</v>
      </c>
      <c r="V27" s="17">
        <v>628.0</v>
      </c>
      <c r="W27" s="17">
        <v>607.0</v>
      </c>
      <c r="X27" s="17">
        <v>619.0</v>
      </c>
      <c r="Y27" s="17">
        <v>606.0</v>
      </c>
      <c r="Z27" s="17">
        <v>617.0</v>
      </c>
      <c r="AA27" s="17">
        <v>615.0</v>
      </c>
      <c r="AB27" s="17">
        <v>589.0</v>
      </c>
      <c r="AC27" s="17">
        <v>588.0</v>
      </c>
      <c r="AD27" s="17">
        <v>591.0</v>
      </c>
      <c r="AE27" s="17">
        <v>602.0</v>
      </c>
      <c r="AF27" s="17">
        <v>601.0</v>
      </c>
      <c r="AG27" s="17">
        <v>600.0</v>
      </c>
      <c r="AH27" s="24">
        <v>597.0</v>
      </c>
      <c r="AI27" s="1">
        <v>577.0</v>
      </c>
      <c r="AJ27" s="1">
        <v>571.0</v>
      </c>
      <c r="AK27" s="1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1" t="s">
        <v>88</v>
      </c>
      <c r="B28" s="31">
        <v>100.0</v>
      </c>
      <c r="C28" s="31">
        <v>97.0</v>
      </c>
      <c r="D28" s="31">
        <v>97.0</v>
      </c>
      <c r="E28" s="31">
        <v>80.0</v>
      </c>
      <c r="F28" s="31">
        <v>103.0</v>
      </c>
      <c r="G28" s="31">
        <v>86.0</v>
      </c>
      <c r="H28" s="31">
        <v>101.0</v>
      </c>
      <c r="I28" s="31">
        <v>101.0</v>
      </c>
      <c r="J28" s="31">
        <v>100.0</v>
      </c>
      <c r="K28" s="31">
        <v>96.0</v>
      </c>
      <c r="L28" s="31">
        <v>101.0</v>
      </c>
      <c r="M28" s="31">
        <v>101.0</v>
      </c>
      <c r="N28" s="31">
        <v>101.0</v>
      </c>
      <c r="O28" s="17">
        <v>91.0</v>
      </c>
      <c r="P28" s="17">
        <v>99.0</v>
      </c>
      <c r="Q28" s="17">
        <v>101.0</v>
      </c>
      <c r="R28" s="17">
        <v>99.0</v>
      </c>
      <c r="S28" s="17">
        <v>99.0</v>
      </c>
      <c r="T28" s="17">
        <v>98.0</v>
      </c>
      <c r="U28" s="17">
        <v>99.0</v>
      </c>
      <c r="V28" s="17">
        <v>99.0</v>
      </c>
      <c r="W28" s="17">
        <v>99.0</v>
      </c>
      <c r="X28" s="17">
        <v>98.0</v>
      </c>
      <c r="Y28" s="17">
        <v>94.0</v>
      </c>
      <c r="Z28" s="17">
        <v>93.0</v>
      </c>
      <c r="AA28" s="17">
        <v>95.0</v>
      </c>
      <c r="AB28" s="17">
        <v>93.0</v>
      </c>
      <c r="AC28" s="17">
        <v>98.0</v>
      </c>
      <c r="AD28" s="17">
        <v>95.0</v>
      </c>
      <c r="AE28" s="17">
        <v>98.0</v>
      </c>
      <c r="AF28" s="17">
        <v>99.0</v>
      </c>
      <c r="AG28" s="17">
        <v>100.0</v>
      </c>
      <c r="AH28" s="24">
        <v>98.0</v>
      </c>
      <c r="AI28" s="1">
        <v>90.0</v>
      </c>
      <c r="AJ28" s="1">
        <v>94.0</v>
      </c>
      <c r="AK28" s="1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1" t="s">
        <v>89</v>
      </c>
      <c r="B29" s="31"/>
      <c r="F29" s="13"/>
      <c r="J29" s="24"/>
      <c r="O29" s="17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1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1" t="s">
        <v>91</v>
      </c>
      <c r="B31" s="31"/>
      <c r="F31" s="13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1" t="s">
        <v>92</v>
      </c>
      <c r="B32" s="31"/>
      <c r="F32" s="1">
        <v>25.0</v>
      </c>
      <c r="G32" s="1">
        <v>40.0</v>
      </c>
      <c r="H32" s="1">
        <v>40.0</v>
      </c>
      <c r="N32" s="17">
        <v>50.0</v>
      </c>
      <c r="O32" s="17">
        <v>50.0</v>
      </c>
      <c r="P32" s="17">
        <v>50.0</v>
      </c>
      <c r="Q32" s="17">
        <v>49.0</v>
      </c>
      <c r="R32" s="17">
        <v>51.0</v>
      </c>
      <c r="S32" s="17">
        <v>50.0</v>
      </c>
      <c r="T32" s="17">
        <v>47.0</v>
      </c>
      <c r="U32" s="17">
        <v>50.0</v>
      </c>
      <c r="V32" s="17">
        <v>50.0</v>
      </c>
      <c r="W32" s="17">
        <v>50.0</v>
      </c>
      <c r="X32" s="17">
        <v>49.0</v>
      </c>
      <c r="Y32" s="17">
        <v>47.0</v>
      </c>
      <c r="Z32" s="17">
        <v>47.0</v>
      </c>
      <c r="AA32" s="17">
        <v>47.0</v>
      </c>
      <c r="AB32" s="17">
        <v>51.0</v>
      </c>
      <c r="AC32" s="17">
        <v>50.0</v>
      </c>
      <c r="AD32" s="17">
        <v>49.0</v>
      </c>
      <c r="AE32" s="17">
        <v>49.0</v>
      </c>
      <c r="AF32" s="17">
        <v>50.0</v>
      </c>
      <c r="AG32" s="17">
        <v>49.0</v>
      </c>
      <c r="AH32" s="24">
        <v>48.0</v>
      </c>
      <c r="AI32" s="1">
        <v>48.0</v>
      </c>
      <c r="AJ32" s="1">
        <v>48.0</v>
      </c>
      <c r="AK32" s="1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1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1" t="s">
        <v>94</v>
      </c>
      <c r="B34" s="24"/>
      <c r="J34" s="24"/>
      <c r="O34" s="17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1" t="s">
        <v>95</v>
      </c>
      <c r="B35" s="24"/>
      <c r="J35" s="24"/>
      <c r="O35" s="17"/>
      <c r="Q35" s="17">
        <v>100.0</v>
      </c>
      <c r="R35" s="17">
        <v>650.0</v>
      </c>
      <c r="S35" s="17">
        <v>647.0</v>
      </c>
      <c r="T35" s="17">
        <v>881.0</v>
      </c>
      <c r="U35" s="17">
        <v>890.0</v>
      </c>
      <c r="V35" s="17">
        <v>895.0</v>
      </c>
      <c r="W35" s="17">
        <v>882.0</v>
      </c>
      <c r="X35" s="17">
        <v>1127.0</v>
      </c>
      <c r="Y35" s="17">
        <v>1127.0</v>
      </c>
      <c r="Z35" s="17">
        <v>1128.0</v>
      </c>
      <c r="AA35" s="17">
        <v>1135.0</v>
      </c>
      <c r="AB35" s="17">
        <v>1114.0</v>
      </c>
      <c r="AC35" s="17">
        <v>1132.0</v>
      </c>
      <c r="AD35" s="17">
        <v>1134.0</v>
      </c>
      <c r="AE35" s="17">
        <v>1126.0</v>
      </c>
      <c r="AF35" s="17">
        <v>1129.0</v>
      </c>
      <c r="AG35" s="17">
        <v>1109.0</v>
      </c>
      <c r="AH35" s="24">
        <v>1129.0</v>
      </c>
      <c r="AI35" s="1">
        <v>1128.0</v>
      </c>
      <c r="AJ35" s="1">
        <v>1068.0</v>
      </c>
      <c r="AK35" s="1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1" t="s">
        <v>96</v>
      </c>
      <c r="B36" s="24"/>
      <c r="J36" s="24"/>
      <c r="O36" s="17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1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1" t="s">
        <v>98</v>
      </c>
      <c r="B38" s="24">
        <v>92.0</v>
      </c>
      <c r="C38" s="24">
        <v>90.0</v>
      </c>
      <c r="J38" s="24"/>
      <c r="O38" s="17"/>
      <c r="Q38" s="24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1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1" t="s">
        <v>100</v>
      </c>
      <c r="B40" s="2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1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1" t="s">
        <v>103</v>
      </c>
      <c r="B42" s="24"/>
      <c r="O42" s="17"/>
      <c r="Q42" s="31">
        <v>401.0</v>
      </c>
      <c r="R42" s="31">
        <v>544.0</v>
      </c>
      <c r="S42" s="31">
        <v>804.0</v>
      </c>
      <c r="T42" s="31">
        <v>798.0</v>
      </c>
      <c r="U42" s="31">
        <v>798.0</v>
      </c>
      <c r="V42" s="31">
        <v>786.0</v>
      </c>
      <c r="W42" s="31">
        <v>795.0</v>
      </c>
      <c r="X42" s="31">
        <v>780.0</v>
      </c>
      <c r="Y42" s="31">
        <v>839.0</v>
      </c>
      <c r="Z42" s="31">
        <v>875.0</v>
      </c>
      <c r="AA42" s="31">
        <v>854.0</v>
      </c>
      <c r="AB42" s="31">
        <v>863.0</v>
      </c>
      <c r="AC42" s="17">
        <v>881.0</v>
      </c>
      <c r="AD42" s="17">
        <v>877.0</v>
      </c>
      <c r="AE42" s="17">
        <v>880.0</v>
      </c>
      <c r="AF42" s="17">
        <v>879.0</v>
      </c>
      <c r="AG42" s="17">
        <v>878.0</v>
      </c>
      <c r="AH42" s="24">
        <v>856.0</v>
      </c>
      <c r="AI42" s="1">
        <v>843.0</v>
      </c>
      <c r="AJ42" s="1">
        <v>860.0</v>
      </c>
      <c r="AK42" s="1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1" t="s">
        <v>104</v>
      </c>
      <c r="B43" s="24"/>
      <c r="O43" s="17"/>
      <c r="Q43" s="31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1" t="s">
        <v>105</v>
      </c>
      <c r="B44" s="31">
        <v>368.0</v>
      </c>
      <c r="C44" s="31">
        <v>384.0</v>
      </c>
      <c r="D44" s="31">
        <v>383.0</v>
      </c>
      <c r="E44" s="31">
        <v>393.0</v>
      </c>
      <c r="F44" s="31">
        <v>398.0</v>
      </c>
      <c r="G44" s="31">
        <v>388.0</v>
      </c>
      <c r="H44" s="31">
        <v>387.0</v>
      </c>
      <c r="I44" s="31">
        <v>392.0</v>
      </c>
      <c r="O44" s="17"/>
      <c r="Q44" s="31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1"/>
      <c r="Q45" s="31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3"/>
      <c r="BD45" s="23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</row>
    <row r="46">
      <c r="A46" s="1" t="s">
        <v>106</v>
      </c>
      <c r="B46" s="31">
        <f t="shared" ref="B46:BA46" si="6">sum(B10:B44)</f>
        <v>4647</v>
      </c>
      <c r="C46" s="31">
        <f t="shared" si="6"/>
        <v>4693</v>
      </c>
      <c r="D46" s="31">
        <f t="shared" si="6"/>
        <v>4830</v>
      </c>
      <c r="E46" s="31">
        <f t="shared" si="6"/>
        <v>5072</v>
      </c>
      <c r="F46" s="19">
        <f t="shared" si="6"/>
        <v>5166</v>
      </c>
      <c r="G46" s="31">
        <f t="shared" si="6"/>
        <v>5268</v>
      </c>
      <c r="H46" s="31">
        <f t="shared" si="6"/>
        <v>5407</v>
      </c>
      <c r="I46" s="31">
        <f t="shared" si="6"/>
        <v>5763</v>
      </c>
      <c r="J46" s="31">
        <f t="shared" si="6"/>
        <v>6054</v>
      </c>
      <c r="K46" s="31">
        <f t="shared" si="6"/>
        <v>6128</v>
      </c>
      <c r="L46" s="31">
        <f t="shared" si="6"/>
        <v>6360</v>
      </c>
      <c r="M46" s="31">
        <f t="shared" si="6"/>
        <v>6527</v>
      </c>
      <c r="N46" s="31">
        <f t="shared" si="6"/>
        <v>6662</v>
      </c>
      <c r="O46" s="31">
        <f t="shared" si="6"/>
        <v>6991</v>
      </c>
      <c r="P46" s="31">
        <f t="shared" si="6"/>
        <v>7370</v>
      </c>
      <c r="Q46" s="31">
        <f t="shared" si="6"/>
        <v>8460</v>
      </c>
      <c r="R46" s="31">
        <f t="shared" si="6"/>
        <v>9361</v>
      </c>
      <c r="S46" s="31">
        <f t="shared" si="6"/>
        <v>9860</v>
      </c>
      <c r="T46" s="31">
        <f t="shared" si="6"/>
        <v>11018</v>
      </c>
      <c r="U46" s="31">
        <f t="shared" si="6"/>
        <v>11278</v>
      </c>
      <c r="V46" s="31">
        <f t="shared" si="6"/>
        <v>11749</v>
      </c>
      <c r="W46" s="31">
        <f t="shared" si="6"/>
        <v>11750</v>
      </c>
      <c r="X46" s="31">
        <f t="shared" si="6"/>
        <v>12125</v>
      </c>
      <c r="Y46" s="31">
        <f t="shared" si="6"/>
        <v>12121</v>
      </c>
      <c r="Z46" s="31">
        <f t="shared" si="6"/>
        <v>12198</v>
      </c>
      <c r="AA46" s="31">
        <f t="shared" si="6"/>
        <v>13222</v>
      </c>
      <c r="AB46" s="31">
        <f t="shared" si="6"/>
        <v>13600</v>
      </c>
      <c r="AC46" s="31">
        <f t="shared" si="6"/>
        <v>14033</v>
      </c>
      <c r="AD46" s="31">
        <f t="shared" si="6"/>
        <v>14505</v>
      </c>
      <c r="AE46" s="31">
        <f t="shared" si="6"/>
        <v>14700</v>
      </c>
      <c r="AF46" s="31">
        <f t="shared" si="6"/>
        <v>14734</v>
      </c>
      <c r="AG46" s="31">
        <f t="shared" si="6"/>
        <v>14824</v>
      </c>
      <c r="AH46" s="31">
        <f t="shared" si="6"/>
        <v>14649</v>
      </c>
      <c r="AI46" s="31">
        <f t="shared" si="6"/>
        <v>14088</v>
      </c>
      <c r="AJ46" s="31">
        <f t="shared" si="6"/>
        <v>13749</v>
      </c>
      <c r="AK46" s="31">
        <f t="shared" si="6"/>
        <v>13156</v>
      </c>
      <c r="AL46" s="31">
        <f t="shared" si="6"/>
        <v>12722</v>
      </c>
      <c r="AM46" s="31">
        <f t="shared" si="6"/>
        <v>12350</v>
      </c>
      <c r="AN46" s="31">
        <f t="shared" si="6"/>
        <v>12084</v>
      </c>
      <c r="AO46" s="31">
        <f t="shared" si="6"/>
        <v>11592</v>
      </c>
      <c r="AP46" s="31">
        <f t="shared" si="6"/>
        <v>11207</v>
      </c>
      <c r="AQ46" s="31">
        <f t="shared" si="6"/>
        <v>10643</v>
      </c>
      <c r="AR46" s="31">
        <f t="shared" si="6"/>
        <v>10208</v>
      </c>
      <c r="AS46" s="31">
        <f t="shared" si="6"/>
        <v>9700</v>
      </c>
      <c r="AT46" s="31">
        <f t="shared" si="6"/>
        <v>9398</v>
      </c>
      <c r="AU46" s="31">
        <f t="shared" si="6"/>
        <v>8967</v>
      </c>
      <c r="AV46" s="31">
        <f t="shared" si="6"/>
        <v>8605</v>
      </c>
      <c r="AW46" s="31">
        <f t="shared" si="6"/>
        <v>8190</v>
      </c>
      <c r="AX46" s="31">
        <f t="shared" si="6"/>
        <v>7793</v>
      </c>
      <c r="AY46" s="31">
        <f t="shared" si="6"/>
        <v>7603</v>
      </c>
      <c r="AZ46" s="31">
        <f t="shared" si="6"/>
        <v>7387</v>
      </c>
      <c r="BA46" s="31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10">
        <f t="shared" ref="BD46:BX46" si="8">sum(BD10:BD44)</f>
        <v>6310</v>
      </c>
      <c r="BE46" s="10">
        <f t="shared" si="8"/>
        <v>5778</v>
      </c>
      <c r="BF46" s="10">
        <f t="shared" si="8"/>
        <v>5870</v>
      </c>
      <c r="BG46" s="10">
        <f t="shared" si="8"/>
        <v>5909</v>
      </c>
      <c r="BH46" s="10">
        <f t="shared" si="8"/>
        <v>5673</v>
      </c>
      <c r="BI46" s="10">
        <f t="shared" si="8"/>
        <v>5579</v>
      </c>
      <c r="BJ46" s="10">
        <f t="shared" si="8"/>
        <v>5565</v>
      </c>
      <c r="BK46" s="10">
        <f t="shared" si="8"/>
        <v>5592</v>
      </c>
      <c r="BL46" s="10">
        <f t="shared" si="8"/>
        <v>5551</v>
      </c>
      <c r="BM46" s="10">
        <f t="shared" si="8"/>
        <v>5464</v>
      </c>
      <c r="BN46" s="10">
        <f t="shared" si="8"/>
        <v>5470</v>
      </c>
      <c r="BO46" s="10">
        <f t="shared" si="8"/>
        <v>5431</v>
      </c>
      <c r="BP46" s="10">
        <f t="shared" si="8"/>
        <v>5446</v>
      </c>
      <c r="BQ46" s="10">
        <f t="shared" si="8"/>
        <v>5354</v>
      </c>
      <c r="BR46" s="10">
        <f t="shared" si="8"/>
        <v>5298</v>
      </c>
      <c r="BS46" s="10">
        <f t="shared" si="8"/>
        <v>5283</v>
      </c>
      <c r="BT46" s="10">
        <f t="shared" si="8"/>
        <v>5104</v>
      </c>
      <c r="BU46" s="10">
        <f t="shared" si="8"/>
        <v>4989</v>
      </c>
      <c r="BV46" s="10">
        <f t="shared" si="8"/>
        <v>4954</v>
      </c>
      <c r="BW46" s="10">
        <f t="shared" si="8"/>
        <v>4945</v>
      </c>
      <c r="BX46" s="10">
        <f t="shared" si="8"/>
        <v>4606</v>
      </c>
      <c r="BY46" s="10">
        <v>4142.0</v>
      </c>
      <c r="BZ46" s="10">
        <f>sum(BZ10:BZ44)</f>
        <v>3763</v>
      </c>
      <c r="CA46" s="10">
        <v>3296.0</v>
      </c>
      <c r="CB46" s="10">
        <f t="shared" ref="CB46:CE46" si="9">sum(CB10:CB44)</f>
        <v>2861</v>
      </c>
      <c r="CC46" s="10">
        <f t="shared" si="9"/>
        <v>2480</v>
      </c>
      <c r="CD46" s="10">
        <f t="shared" si="9"/>
        <v>2394</v>
      </c>
      <c r="CE46" s="10">
        <f t="shared" si="9"/>
        <v>2443</v>
      </c>
    </row>
    <row r="47">
      <c r="A47" s="1" t="s">
        <v>109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0">
        <v>2754.0</v>
      </c>
      <c r="AY47" s="10">
        <v>2715.0</v>
      </c>
      <c r="AZ47" s="10">
        <v>2643.0</v>
      </c>
      <c r="BA47" s="10">
        <v>2558.0</v>
      </c>
      <c r="BB47" s="10">
        <v>2486.0</v>
      </c>
      <c r="BC47" s="10">
        <v>2381.0</v>
      </c>
      <c r="BD47" s="10">
        <v>2264.0</v>
      </c>
      <c r="BE47" s="10">
        <v>2131.0</v>
      </c>
      <c r="BF47" s="10">
        <v>2060.0</v>
      </c>
      <c r="BG47" s="10">
        <v>2041.0</v>
      </c>
      <c r="BH47" s="10">
        <v>2002.0</v>
      </c>
      <c r="BI47" s="10">
        <v>1966.0</v>
      </c>
      <c r="BJ47" s="10">
        <v>1971.0</v>
      </c>
      <c r="BK47" s="10">
        <v>1966.0</v>
      </c>
      <c r="BL47" s="10">
        <v>1950.0</v>
      </c>
      <c r="BM47" s="10">
        <v>1896.0</v>
      </c>
      <c r="BN47" s="10">
        <v>1883.0</v>
      </c>
      <c r="BO47" s="10">
        <v>1856.0</v>
      </c>
      <c r="BP47" s="10">
        <v>1850.0</v>
      </c>
      <c r="BQ47" s="10">
        <v>1791.0</v>
      </c>
      <c r="BR47" s="10">
        <v>1747.0</v>
      </c>
      <c r="BS47" s="10">
        <v>1759.0</v>
      </c>
      <c r="BT47" s="10">
        <v>1714.0</v>
      </c>
      <c r="BU47" s="10">
        <v>1700.0</v>
      </c>
      <c r="BV47" s="10">
        <v>1698.0</v>
      </c>
      <c r="BW47" s="10">
        <v>1706.0</v>
      </c>
      <c r="BX47" s="10">
        <v>1578.0</v>
      </c>
      <c r="BY47" s="10">
        <v>1423.0</v>
      </c>
      <c r="BZ47" s="10">
        <v>1346.0</v>
      </c>
      <c r="CA47" s="10">
        <v>1229.0</v>
      </c>
      <c r="CB47" s="10">
        <v>1160.0</v>
      </c>
      <c r="CC47" s="10">
        <v>1074.0</v>
      </c>
      <c r="CD47" s="10">
        <v>1080.0</v>
      </c>
      <c r="CE47" s="10">
        <v>1136.0</v>
      </c>
    </row>
    <row r="48">
      <c r="B48" s="31"/>
      <c r="Q48" s="31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1"/>
      <c r="Q49" s="17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1"/>
      <c r="Q50" s="17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1"/>
      <c r="Q51" s="17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1"/>
      <c r="Q52" s="17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1"/>
      <c r="Q53" s="17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1"/>
      <c r="Q54" s="17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1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1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17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17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17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17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17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17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17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17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17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17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17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17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17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17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17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1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7" t="s">
        <v>75</v>
      </c>
      <c r="B2" s="38">
        <v>5596.0</v>
      </c>
      <c r="C2" s="38">
        <v>5567.0</v>
      </c>
      <c r="D2" s="38">
        <v>5584.0</v>
      </c>
      <c r="E2" s="38">
        <v>5567.0</v>
      </c>
      <c r="F2" s="38">
        <v>5566.0</v>
      </c>
      <c r="G2" s="38">
        <v>5596.0</v>
      </c>
      <c r="H2" s="37">
        <v>5592.0</v>
      </c>
      <c r="I2" s="37">
        <v>5571.0</v>
      </c>
      <c r="J2" s="37">
        <v>5568.0</v>
      </c>
      <c r="K2" s="37">
        <v>5506.0</v>
      </c>
      <c r="L2" s="37">
        <v>5560.0</v>
      </c>
      <c r="M2" s="37">
        <v>5579.0</v>
      </c>
      <c r="N2" s="37">
        <v>5590.0</v>
      </c>
      <c r="O2" s="37">
        <v>5567.0</v>
      </c>
      <c r="P2" s="37">
        <v>5529.0</v>
      </c>
      <c r="Q2" s="39">
        <v>5514.0</v>
      </c>
      <c r="R2" s="1">
        <v>5413.0</v>
      </c>
      <c r="S2" s="10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39">
        <v>5461.0</v>
      </c>
      <c r="Z2" s="39">
        <v>5447.0</v>
      </c>
      <c r="AA2" s="39">
        <v>5454.0</v>
      </c>
      <c r="AB2" s="39">
        <v>5446.0</v>
      </c>
      <c r="AC2" s="39">
        <v>5389.0</v>
      </c>
      <c r="AD2" s="39">
        <v>5378.0</v>
      </c>
      <c r="AE2" s="39">
        <v>5343.0</v>
      </c>
      <c r="AF2" s="39">
        <v>5351.0</v>
      </c>
      <c r="AG2" s="39">
        <v>5374.0</v>
      </c>
      <c r="AH2" s="39">
        <v>5374.0</v>
      </c>
      <c r="AI2" s="39">
        <v>5354.0</v>
      </c>
      <c r="AJ2" s="39">
        <v>5337.0</v>
      </c>
      <c r="AK2" s="39">
        <v>5303.0</v>
      </c>
      <c r="AL2" s="39">
        <v>5299.0</v>
      </c>
      <c r="AM2" s="39">
        <v>5348.0</v>
      </c>
      <c r="AN2" s="39">
        <v>5317.0</v>
      </c>
      <c r="AO2" s="39">
        <v>5302.0</v>
      </c>
      <c r="AP2" s="39">
        <v>5301.0</v>
      </c>
      <c r="AQ2" s="39">
        <v>5312.0</v>
      </c>
      <c r="AR2" s="39">
        <v>5315.0</v>
      </c>
      <c r="AS2" s="39">
        <v>5292.0</v>
      </c>
      <c r="AT2" s="39">
        <v>5330.0</v>
      </c>
      <c r="AU2" s="39">
        <v>5330.0</v>
      </c>
      <c r="AV2" s="39">
        <v>5315.0</v>
      </c>
      <c r="AW2" s="39">
        <v>5287.0</v>
      </c>
      <c r="AX2" s="39">
        <v>5252.0</v>
      </c>
      <c r="AY2" s="39">
        <v>5234.0</v>
      </c>
      <c r="AZ2" s="39">
        <v>5163.0</v>
      </c>
      <c r="BA2" s="39">
        <v>5174.0</v>
      </c>
      <c r="BB2" s="39">
        <v>5136.0</v>
      </c>
      <c r="BC2" s="39">
        <v>5112.0</v>
      </c>
      <c r="BD2" s="39">
        <v>5105.0</v>
      </c>
      <c r="BE2" s="39">
        <v>5096.0</v>
      </c>
      <c r="BF2" s="39">
        <v>5053.0</v>
      </c>
      <c r="BG2" s="39">
        <v>5007.0</v>
      </c>
      <c r="BH2" s="39">
        <v>5009.0</v>
      </c>
      <c r="BI2" s="39">
        <v>5020.0</v>
      </c>
      <c r="BJ2" s="39">
        <v>4991.0</v>
      </c>
      <c r="BK2" s="39">
        <v>4990.0</v>
      </c>
      <c r="BL2" s="39">
        <v>5003.0</v>
      </c>
      <c r="BM2" s="39">
        <v>4989.0</v>
      </c>
      <c r="BN2" s="39">
        <v>4996.0</v>
      </c>
      <c r="BO2" s="39">
        <v>4969.0</v>
      </c>
      <c r="BP2" s="39">
        <v>4965.0</v>
      </c>
      <c r="BQ2" s="39">
        <v>4942.0</v>
      </c>
      <c r="BR2" s="39">
        <v>4960.0</v>
      </c>
      <c r="BS2" s="39">
        <v>4918.0</v>
      </c>
      <c r="BT2" s="39">
        <v>4929.0</v>
      </c>
      <c r="BU2" s="39">
        <v>4909.0</v>
      </c>
      <c r="BV2" s="39">
        <v>4932.0</v>
      </c>
      <c r="BW2" s="39">
        <v>4952.0</v>
      </c>
      <c r="BX2" s="39">
        <v>4956.0</v>
      </c>
      <c r="BY2" s="39">
        <v>4950.0</v>
      </c>
      <c r="BZ2" s="39">
        <v>4930.0</v>
      </c>
      <c r="CA2" s="39">
        <v>4930.0</v>
      </c>
      <c r="CB2" s="39">
        <v>4784.0</v>
      </c>
      <c r="CC2" s="39">
        <v>4735.0</v>
      </c>
      <c r="CD2" s="39">
        <v>4679.0</v>
      </c>
      <c r="CE2" s="39">
        <v>4626.0</v>
      </c>
      <c r="CF2" s="39">
        <v>4701.0</v>
      </c>
      <c r="CG2" s="39">
        <v>4647.0</v>
      </c>
      <c r="CH2" s="39">
        <v>4576.0</v>
      </c>
      <c r="CI2" s="39">
        <v>4489.0</v>
      </c>
      <c r="CJ2" s="39">
        <v>4416.0</v>
      </c>
      <c r="CK2" s="39">
        <v>4408.0</v>
      </c>
      <c r="CL2" s="39">
        <v>4277.0</v>
      </c>
      <c r="CM2" s="39">
        <v>4242.0</v>
      </c>
      <c r="CN2" s="39">
        <v>4201.0</v>
      </c>
      <c r="CO2" s="39">
        <v>4111.0</v>
      </c>
      <c r="CP2" s="39">
        <v>4066.0</v>
      </c>
      <c r="CQ2" s="39">
        <v>4007.0</v>
      </c>
      <c r="CR2" s="39">
        <v>3951.0</v>
      </c>
      <c r="CS2" s="39">
        <v>3906.0</v>
      </c>
      <c r="CT2" s="39">
        <v>3869.0</v>
      </c>
      <c r="CU2" s="39">
        <v>3831.0</v>
      </c>
      <c r="CV2" s="39">
        <v>3746.0</v>
      </c>
      <c r="CW2" s="39">
        <v>3703.0</v>
      </c>
      <c r="CX2" s="39">
        <v>3628.0</v>
      </c>
      <c r="CY2" s="39">
        <v>3575.0</v>
      </c>
      <c r="CZ2" s="39">
        <v>3485.0</v>
      </c>
      <c r="DA2" s="39">
        <v>3450.0</v>
      </c>
      <c r="DB2" s="39">
        <v>3373.0</v>
      </c>
      <c r="DC2" s="39">
        <v>3330.0</v>
      </c>
      <c r="DD2" s="39">
        <v>3291.0</v>
      </c>
      <c r="DE2" s="39">
        <v>3114.0</v>
      </c>
      <c r="DF2" s="39">
        <v>3073.0</v>
      </c>
      <c r="DG2" s="39">
        <v>3016.0</v>
      </c>
      <c r="DH2" s="39">
        <v>2903.0</v>
      </c>
      <c r="DI2" s="39">
        <v>2825.0</v>
      </c>
      <c r="DJ2" s="39">
        <v>2739.0</v>
      </c>
      <c r="DK2" s="39">
        <v>2671.0</v>
      </c>
      <c r="DL2" s="39">
        <v>2643.0</v>
      </c>
      <c r="DM2" s="39">
        <v>2610.0</v>
      </c>
      <c r="DN2" s="39">
        <v>2563.0</v>
      </c>
      <c r="DO2" s="39">
        <v>2529.0</v>
      </c>
      <c r="DP2" s="39">
        <v>2535.0</v>
      </c>
      <c r="DQ2" s="39">
        <v>2487.0</v>
      </c>
      <c r="DR2" s="39">
        <v>2459.0</v>
      </c>
      <c r="DS2" s="39">
        <v>2487.0</v>
      </c>
      <c r="DT2" s="39">
        <v>2495.0</v>
      </c>
      <c r="DU2" s="39">
        <v>2476.0</v>
      </c>
    </row>
    <row r="3">
      <c r="A3" s="37" t="s">
        <v>78</v>
      </c>
      <c r="B3" s="37">
        <v>9.0</v>
      </c>
      <c r="C3" s="37">
        <v>30.0</v>
      </c>
      <c r="D3" s="37">
        <v>9.0</v>
      </c>
      <c r="E3" s="37">
        <v>5.0</v>
      </c>
      <c r="F3" s="37">
        <v>33.0</v>
      </c>
      <c r="G3" s="37">
        <v>23.0</v>
      </c>
      <c r="H3" s="37">
        <v>9.0</v>
      </c>
      <c r="I3" s="37">
        <v>22.0</v>
      </c>
      <c r="J3" s="37">
        <v>6.0</v>
      </c>
      <c r="K3" s="37">
        <v>11.0</v>
      </c>
      <c r="L3" s="37">
        <v>7.0</v>
      </c>
      <c r="M3" s="37">
        <v>43.0</v>
      </c>
      <c r="N3" s="37">
        <v>14.0</v>
      </c>
      <c r="O3" s="37">
        <v>5.0</v>
      </c>
      <c r="P3" s="37">
        <v>9.0</v>
      </c>
      <c r="Q3" s="37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7">
        <v>15.0</v>
      </c>
      <c r="Z3" s="37">
        <v>29.0</v>
      </c>
      <c r="AA3" s="37">
        <v>23.0</v>
      </c>
      <c r="AB3" s="37">
        <v>21.0</v>
      </c>
      <c r="AC3" s="37">
        <v>11.0</v>
      </c>
      <c r="AD3" s="37">
        <v>17.0</v>
      </c>
      <c r="AE3" s="37">
        <v>34.0</v>
      </c>
      <c r="AF3" s="37">
        <v>18.0</v>
      </c>
      <c r="AG3" s="37">
        <v>16.0</v>
      </c>
      <c r="AH3" s="37">
        <v>17.0</v>
      </c>
      <c r="AI3" s="37">
        <v>17.0</v>
      </c>
      <c r="AJ3" s="37">
        <v>18.0</v>
      </c>
      <c r="AK3" s="37">
        <v>17.0</v>
      </c>
      <c r="AL3" s="37">
        <v>64.0</v>
      </c>
      <c r="AM3" s="37">
        <v>10.0</v>
      </c>
      <c r="AN3" s="37">
        <v>7.0</v>
      </c>
      <c r="AO3" s="37">
        <v>11.0</v>
      </c>
      <c r="AP3" s="37">
        <v>18.0</v>
      </c>
      <c r="AQ3" s="37">
        <v>12.0</v>
      </c>
      <c r="AR3" s="37">
        <v>10.0</v>
      </c>
      <c r="AS3" s="37">
        <v>38.0</v>
      </c>
      <c r="AT3" s="37">
        <v>28.0</v>
      </c>
      <c r="AU3" s="37">
        <v>14.0</v>
      </c>
      <c r="AV3" s="37">
        <v>25.0</v>
      </c>
      <c r="AW3" s="37">
        <v>10.0</v>
      </c>
      <c r="AX3" s="37">
        <v>8.0</v>
      </c>
      <c r="AY3" s="37">
        <v>9.0</v>
      </c>
      <c r="AZ3" s="37">
        <v>30.0</v>
      </c>
      <c r="BA3" s="37">
        <v>13.0</v>
      </c>
      <c r="BB3" s="37">
        <v>6.0</v>
      </c>
      <c r="BC3" s="37">
        <v>9.0</v>
      </c>
      <c r="BD3" s="37">
        <v>15.0</v>
      </c>
      <c r="BE3" s="37">
        <v>11.0</v>
      </c>
      <c r="BF3" s="37">
        <v>27.0</v>
      </c>
      <c r="BG3" s="37">
        <v>27.0</v>
      </c>
      <c r="BH3" s="37">
        <v>52.0</v>
      </c>
      <c r="BI3" s="37">
        <v>25.0</v>
      </c>
      <c r="BJ3" s="37">
        <v>12.0</v>
      </c>
      <c r="BK3" s="37">
        <v>11.0</v>
      </c>
      <c r="BL3" s="37">
        <v>13.0</v>
      </c>
      <c r="BM3" s="37">
        <v>8.0</v>
      </c>
      <c r="BN3" s="37">
        <v>21.0</v>
      </c>
      <c r="BO3" s="37">
        <v>16.0</v>
      </c>
      <c r="BP3" s="37">
        <v>14.0</v>
      </c>
      <c r="BQ3" s="37">
        <v>13.0</v>
      </c>
      <c r="BR3" s="37">
        <v>3.0</v>
      </c>
      <c r="BS3" s="37">
        <v>12.0</v>
      </c>
      <c r="BT3" s="37">
        <v>8.0</v>
      </c>
      <c r="BU3" s="1">
        <v>46.0</v>
      </c>
      <c r="BV3" s="37">
        <v>33.0</v>
      </c>
      <c r="BW3" s="37">
        <v>17.0</v>
      </c>
      <c r="BX3" s="37">
        <v>28.0</v>
      </c>
      <c r="BY3" s="37">
        <v>2.0</v>
      </c>
      <c r="BZ3" s="37">
        <v>9.0</v>
      </c>
      <c r="CA3" s="37">
        <v>5.0</v>
      </c>
      <c r="CB3" s="37">
        <v>30.0</v>
      </c>
      <c r="CC3" s="37">
        <v>32.0</v>
      </c>
      <c r="CD3" s="37">
        <v>16.0</v>
      </c>
      <c r="CE3" s="37">
        <v>11.0</v>
      </c>
      <c r="CF3" s="37">
        <v>11.0</v>
      </c>
      <c r="CG3" s="37">
        <v>15.0</v>
      </c>
      <c r="CH3" s="37">
        <v>10.0</v>
      </c>
      <c r="CI3" s="37">
        <v>27.0</v>
      </c>
      <c r="CJ3" s="37">
        <v>13.0</v>
      </c>
      <c r="CK3" s="37">
        <v>18.0</v>
      </c>
      <c r="CL3" s="37">
        <v>13.0</v>
      </c>
      <c r="CM3" s="37">
        <v>16.0</v>
      </c>
      <c r="CN3" s="37">
        <v>7.0</v>
      </c>
      <c r="CO3" s="37">
        <v>5.0</v>
      </c>
      <c r="CP3" s="37">
        <v>20.0</v>
      </c>
      <c r="CQ3" s="37">
        <v>7.0</v>
      </c>
      <c r="CR3" s="37">
        <v>4.0</v>
      </c>
      <c r="CS3" s="37">
        <v>23.0</v>
      </c>
      <c r="CT3" s="37">
        <v>12.0</v>
      </c>
      <c r="CU3" s="37">
        <v>8.0</v>
      </c>
      <c r="CV3" s="37">
        <v>3.0</v>
      </c>
      <c r="CW3" s="37">
        <v>10.0</v>
      </c>
      <c r="CX3" s="37">
        <v>23.0</v>
      </c>
      <c r="CY3" s="37">
        <v>3.0</v>
      </c>
      <c r="CZ3" s="37">
        <v>10.0</v>
      </c>
      <c r="DA3" s="37">
        <v>10.0</v>
      </c>
      <c r="DB3" s="37">
        <v>4.0</v>
      </c>
      <c r="DC3" s="37">
        <v>8.0</v>
      </c>
      <c r="DD3" s="37">
        <v>8.0</v>
      </c>
      <c r="DE3" s="37">
        <v>5.0</v>
      </c>
      <c r="DF3" s="37">
        <v>6.0</v>
      </c>
      <c r="DG3" s="37">
        <v>0.0</v>
      </c>
      <c r="DH3" s="37">
        <v>0.0</v>
      </c>
      <c r="DI3" s="37">
        <v>0.0</v>
      </c>
      <c r="DJ3" s="37">
        <v>16.0</v>
      </c>
      <c r="DK3" s="37">
        <v>10.0</v>
      </c>
      <c r="DL3" s="37">
        <v>10.0</v>
      </c>
      <c r="DM3" s="37">
        <v>3.0</v>
      </c>
      <c r="DN3" s="37">
        <v>4.0</v>
      </c>
      <c r="DO3" s="37">
        <v>7.0</v>
      </c>
      <c r="DP3" s="37">
        <v>3.0</v>
      </c>
      <c r="DQ3" s="37">
        <v>3.0</v>
      </c>
      <c r="DR3" s="37">
        <v>0.0</v>
      </c>
      <c r="DS3" s="37">
        <v>0.0</v>
      </c>
      <c r="DT3" s="37">
        <v>2.0</v>
      </c>
      <c r="DU3" s="37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47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33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78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24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27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107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50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20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7">
        <v>3.0</v>
      </c>
      <c r="K6" s="17">
        <v>5.0</v>
      </c>
      <c r="L6" s="17">
        <v>6.0</v>
      </c>
      <c r="M6" s="17">
        <v>10.0</v>
      </c>
      <c r="N6" s="17">
        <v>9.0</v>
      </c>
      <c r="O6" s="17">
        <v>3.0</v>
      </c>
      <c r="P6" s="17">
        <v>18.0</v>
      </c>
      <c r="Q6" s="17">
        <v>7.0</v>
      </c>
      <c r="R6" s="17">
        <v>17.0</v>
      </c>
      <c r="S6" s="17">
        <v>7.0</v>
      </c>
      <c r="T6" s="17">
        <v>5.0</v>
      </c>
      <c r="U6" s="17">
        <v>5.0</v>
      </c>
      <c r="V6" s="17">
        <v>7.0</v>
      </c>
      <c r="W6" s="17">
        <v>3.0</v>
      </c>
      <c r="X6" s="17">
        <v>3.0</v>
      </c>
      <c r="Y6" s="17">
        <v>6.0</v>
      </c>
      <c r="Z6" s="17">
        <v>7.0</v>
      </c>
      <c r="AA6" s="17">
        <v>13.0</v>
      </c>
      <c r="AB6" s="17">
        <v>9.0</v>
      </c>
      <c r="AC6" s="17">
        <v>0.0</v>
      </c>
      <c r="AD6" s="17">
        <v>2.0</v>
      </c>
      <c r="AE6" s="17">
        <v>5.0</v>
      </c>
      <c r="AF6" s="17">
        <v>13.0</v>
      </c>
      <c r="AG6" s="17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25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58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60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34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63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1">
        <v>5.0</v>
      </c>
      <c r="I21" s="24">
        <v>0.0</v>
      </c>
      <c r="J21" s="31">
        <v>2.0</v>
      </c>
      <c r="K21" s="31">
        <v>6.0</v>
      </c>
      <c r="L21" s="24">
        <v>0.0</v>
      </c>
      <c r="M21" s="31">
        <v>10.0</v>
      </c>
      <c r="N21" s="17">
        <v>18.0</v>
      </c>
      <c r="O21" s="17">
        <v>4.0</v>
      </c>
      <c r="P21" s="17">
        <v>12.0</v>
      </c>
      <c r="Q21" s="17">
        <v>15.0</v>
      </c>
      <c r="R21" s="17">
        <v>2.0</v>
      </c>
      <c r="S21" s="17">
        <v>5.0</v>
      </c>
      <c r="T21" s="17">
        <v>4.0</v>
      </c>
      <c r="U21" s="17">
        <v>13.0</v>
      </c>
      <c r="V21" s="17">
        <v>6.0</v>
      </c>
      <c r="W21" s="17">
        <v>2.0</v>
      </c>
      <c r="X21" s="17">
        <v>3.0</v>
      </c>
      <c r="Y21" s="17">
        <v>9.0</v>
      </c>
      <c r="Z21" s="17">
        <v>2.0</v>
      </c>
      <c r="AA21" s="17">
        <v>1.0</v>
      </c>
      <c r="AB21" s="17">
        <v>1.0</v>
      </c>
      <c r="AC21" s="31">
        <v>0.0</v>
      </c>
      <c r="AD21" s="31">
        <v>0.0</v>
      </c>
      <c r="AE21" s="31">
        <v>4.0</v>
      </c>
      <c r="AF21" s="31">
        <v>2.0</v>
      </c>
      <c r="AG21" s="31">
        <v>3.0</v>
      </c>
      <c r="AH21" s="2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3"/>
      <c r="F23" s="13"/>
      <c r="I23" s="13"/>
      <c r="L23" s="28"/>
      <c r="M23" s="17"/>
      <c r="P23" s="13"/>
      <c r="Q23" s="17"/>
      <c r="R23" s="25"/>
      <c r="S23" s="28"/>
      <c r="Y23" s="17"/>
      <c r="Z23" s="44"/>
      <c r="AA23" s="28"/>
      <c r="AW23" s="37" t="s">
        <v>129</v>
      </c>
      <c r="AX23" s="37"/>
      <c r="AY23" s="37"/>
      <c r="AZ23" s="37"/>
      <c r="BA23" s="37"/>
      <c r="BB23" s="37"/>
      <c r="BC23" s="37"/>
      <c r="BD23" s="37"/>
      <c r="BE23" s="37"/>
      <c r="BF23" s="37"/>
      <c r="BG23" s="37"/>
    </row>
    <row r="24">
      <c r="B24" s="28"/>
      <c r="E24" s="13"/>
      <c r="F24" s="13"/>
      <c r="I24" s="13"/>
      <c r="L24" s="28"/>
      <c r="M24" s="17"/>
      <c r="P24" s="13"/>
      <c r="Q24" s="17"/>
      <c r="R24" s="25"/>
      <c r="S24" s="28"/>
      <c r="Y24" s="17"/>
      <c r="Z24" s="44"/>
      <c r="AA24" s="28"/>
    </row>
    <row r="25">
      <c r="B25" s="28"/>
      <c r="E25" s="13"/>
      <c r="F25" s="13"/>
      <c r="G25" s="28"/>
      <c r="H25" s="17"/>
      <c r="I25" s="13"/>
      <c r="L25" s="28"/>
      <c r="M25" s="17"/>
      <c r="P25" s="13"/>
      <c r="Q25" s="17"/>
      <c r="R25" s="25"/>
      <c r="S25" s="28"/>
      <c r="Y25" s="17"/>
      <c r="Z25" s="44"/>
      <c r="AA25" s="28"/>
      <c r="AB25" s="17"/>
      <c r="AC25" s="25"/>
      <c r="AD25" s="28"/>
      <c r="AE25" s="17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4"/>
      <c r="D26" s="13"/>
      <c r="E26" s="13"/>
      <c r="F26" s="13"/>
      <c r="G26" s="28"/>
      <c r="H26" s="17"/>
      <c r="I26" s="13"/>
      <c r="L26" s="28"/>
      <c r="M26" s="17"/>
      <c r="N26" s="28"/>
      <c r="O26" s="17"/>
      <c r="P26" s="13"/>
      <c r="Q26" s="17"/>
      <c r="R26" s="25"/>
      <c r="S26" s="28"/>
      <c r="AB26" s="44"/>
      <c r="AC26" s="28"/>
      <c r="AD26" s="45"/>
      <c r="AE26" s="17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4"/>
      <c r="E27" s="13"/>
      <c r="F27" s="13"/>
      <c r="G27" s="28"/>
      <c r="H27" s="17"/>
      <c r="I27" s="13"/>
      <c r="L27" s="28"/>
      <c r="M27" s="17"/>
      <c r="N27" s="28"/>
      <c r="O27" s="17"/>
      <c r="P27" s="13"/>
      <c r="Q27" s="17"/>
      <c r="R27" s="44"/>
      <c r="S27" s="28"/>
      <c r="X27" s="13"/>
      <c r="AA27" s="13"/>
      <c r="AB27" s="44"/>
      <c r="AC27" s="25"/>
      <c r="AD27" s="25"/>
    </row>
    <row r="28">
      <c r="B28" s="28"/>
      <c r="E28" s="13"/>
      <c r="F28" s="13"/>
      <c r="G28" s="28"/>
      <c r="H28" s="17"/>
      <c r="L28" s="28"/>
      <c r="M28" s="17"/>
      <c r="N28" s="28"/>
      <c r="O28" s="17"/>
      <c r="P28" s="13"/>
      <c r="Q28" s="17"/>
      <c r="R28" s="44"/>
      <c r="S28" s="28"/>
      <c r="X28" s="13"/>
      <c r="AA28" s="13"/>
      <c r="AB28" s="17"/>
      <c r="AC28" s="25"/>
      <c r="AD28" s="25"/>
    </row>
    <row r="29">
      <c r="B29" s="13"/>
      <c r="C29" s="24"/>
      <c r="E29" s="13"/>
      <c r="F29" s="13"/>
      <c r="G29" s="28"/>
      <c r="H29" s="17"/>
      <c r="L29" s="28"/>
      <c r="M29" s="17"/>
      <c r="N29" s="28"/>
      <c r="O29" s="17"/>
      <c r="P29" s="13"/>
      <c r="Q29" s="17"/>
      <c r="R29" s="44"/>
      <c r="S29" s="28"/>
      <c r="X29" s="13"/>
      <c r="AA29" s="13"/>
      <c r="AC29" s="28"/>
      <c r="AD29" s="17"/>
    </row>
    <row r="30">
      <c r="B30" s="13"/>
      <c r="C30" s="24"/>
      <c r="E30" s="13"/>
      <c r="F30" s="13"/>
      <c r="G30" s="28"/>
      <c r="H30" s="17"/>
      <c r="N30" s="28"/>
      <c r="O30" s="17"/>
      <c r="P30" s="13"/>
      <c r="X30" s="13"/>
      <c r="AA30" s="13"/>
      <c r="AC30" s="28"/>
      <c r="AD30" s="17"/>
    </row>
    <row r="31">
      <c r="B31" s="13"/>
      <c r="C31" s="24"/>
      <c r="E31" s="13"/>
      <c r="F31" s="13"/>
      <c r="G31" s="28"/>
      <c r="H31" s="17"/>
      <c r="N31" s="28"/>
      <c r="O31" s="17"/>
      <c r="P31" s="13"/>
      <c r="X31" s="13"/>
      <c r="AA31" s="13"/>
      <c r="AC31" s="25"/>
      <c r="AD31" s="44"/>
    </row>
    <row r="32">
      <c r="B32" s="13"/>
      <c r="C32" s="24"/>
      <c r="E32" s="13"/>
      <c r="F32" s="13"/>
      <c r="G32" s="28"/>
      <c r="H32" s="17"/>
      <c r="N32" s="28"/>
      <c r="O32" s="17"/>
      <c r="P32" s="13"/>
      <c r="X32" s="13"/>
      <c r="AA32" s="13"/>
      <c r="AC32" s="28"/>
      <c r="AD32" s="17"/>
    </row>
    <row r="33">
      <c r="B33" s="13"/>
      <c r="C33" s="24"/>
      <c r="E33" s="13"/>
      <c r="F33" s="13"/>
      <c r="G33" s="28"/>
      <c r="H33" s="17"/>
      <c r="N33" s="28"/>
      <c r="O33" s="17"/>
      <c r="X33" s="13"/>
      <c r="AA33" s="13"/>
      <c r="AC33" s="28"/>
      <c r="AD33" s="17"/>
    </row>
    <row r="34">
      <c r="E34" s="13"/>
      <c r="F34" s="13"/>
      <c r="G34" s="28"/>
      <c r="H34" s="17"/>
      <c r="N34" s="28"/>
      <c r="O34" s="17"/>
      <c r="X34" s="13"/>
      <c r="AA34" s="13"/>
      <c r="AC34" s="28"/>
      <c r="AD34" s="17"/>
    </row>
    <row r="35">
      <c r="B35" s="13"/>
      <c r="C35" s="24"/>
      <c r="E35" s="13"/>
      <c r="F35" s="13"/>
      <c r="G35" s="28"/>
      <c r="H35" s="17"/>
      <c r="N35" s="28"/>
      <c r="O35" s="17"/>
      <c r="X35" s="13"/>
      <c r="AA35" s="13"/>
      <c r="AC35" s="28"/>
      <c r="AD35" s="17"/>
    </row>
    <row r="36">
      <c r="B36" s="13"/>
      <c r="C36" s="24"/>
      <c r="E36" s="13"/>
      <c r="F36" s="13"/>
      <c r="G36" s="28"/>
      <c r="H36" s="17"/>
      <c r="N36" s="28"/>
      <c r="O36" s="17"/>
      <c r="X36" s="13"/>
      <c r="AA36" s="13"/>
      <c r="AC36" s="28"/>
      <c r="AD36" s="17"/>
    </row>
    <row r="37">
      <c r="B37" s="13"/>
      <c r="C37" s="24"/>
      <c r="E37" s="13"/>
      <c r="F37" s="13"/>
      <c r="G37" s="28"/>
      <c r="H37" s="17"/>
      <c r="N37" s="28"/>
      <c r="O37" s="17"/>
      <c r="X37" s="13"/>
      <c r="AA37" s="13"/>
    </row>
    <row r="38">
      <c r="B38" s="13"/>
      <c r="C38" s="24"/>
      <c r="E38" s="13"/>
      <c r="F38" s="13"/>
      <c r="G38" s="28"/>
      <c r="H38" s="17"/>
      <c r="N38" s="28"/>
      <c r="O38" s="17"/>
      <c r="X38" s="13"/>
      <c r="AA38" s="13"/>
    </row>
    <row r="39">
      <c r="B39" s="13"/>
      <c r="C39" s="24"/>
      <c r="E39" s="13"/>
      <c r="F39" s="13"/>
      <c r="G39" s="28"/>
      <c r="H39" s="17"/>
      <c r="N39" s="28"/>
      <c r="O39" s="17"/>
      <c r="X39" s="13"/>
      <c r="AA39" s="13"/>
    </row>
    <row r="40">
      <c r="B40" s="13"/>
      <c r="C40" s="24"/>
      <c r="E40" s="13"/>
      <c r="F40" s="13"/>
      <c r="G40" s="28"/>
      <c r="H40" s="17"/>
      <c r="X40" s="13"/>
      <c r="AA40" s="13"/>
    </row>
    <row r="41">
      <c r="B41" s="13"/>
      <c r="C41" s="24"/>
      <c r="E41" s="13"/>
      <c r="G41" s="28"/>
      <c r="H41" s="17"/>
      <c r="X41" s="13"/>
      <c r="AA41" s="13"/>
    </row>
    <row r="42">
      <c r="B42" s="13"/>
      <c r="E42" s="13"/>
      <c r="G42" s="28"/>
      <c r="H42" s="17"/>
      <c r="X42" s="13"/>
      <c r="AA42" s="13"/>
    </row>
    <row r="43">
      <c r="B43" s="13"/>
      <c r="E43" s="13"/>
      <c r="G43" s="28"/>
      <c r="H43" s="17"/>
      <c r="X43" s="13"/>
      <c r="AA43" s="13"/>
    </row>
    <row r="44">
      <c r="B44" s="13"/>
      <c r="E44" s="13"/>
      <c r="G44" s="28"/>
      <c r="H44" s="17"/>
      <c r="X44" s="13"/>
      <c r="AA44" s="13"/>
    </row>
    <row r="45">
      <c r="B45" s="13"/>
      <c r="E45" s="13"/>
      <c r="G45" s="28"/>
      <c r="H45" s="17"/>
      <c r="X45" s="13"/>
      <c r="AA45" s="13"/>
    </row>
    <row r="46">
      <c r="B46" s="13"/>
      <c r="E46" s="13"/>
      <c r="G46" s="28"/>
      <c r="H46" s="17"/>
      <c r="X46" s="13"/>
      <c r="AA46" s="13"/>
    </row>
    <row r="47">
      <c r="B47" s="13"/>
      <c r="E47" s="13"/>
      <c r="X47" s="13"/>
      <c r="AA47" s="13"/>
    </row>
    <row r="48">
      <c r="B48" s="13"/>
      <c r="E48" s="13"/>
      <c r="X48" s="13"/>
      <c r="AA48" s="13"/>
    </row>
    <row r="49">
      <c r="B49" s="13"/>
      <c r="E49" s="13"/>
    </row>
    <row r="50">
      <c r="B50" s="13"/>
      <c r="E50" s="13"/>
    </row>
    <row r="51">
      <c r="B51" s="13"/>
      <c r="E51" s="13"/>
    </row>
    <row r="52">
      <c r="B52" s="13"/>
      <c r="E52" s="13"/>
    </row>
    <row r="53">
      <c r="B53" s="13"/>
      <c r="E53" s="13"/>
    </row>
    <row r="54">
      <c r="B54" s="13"/>
      <c r="E54" s="13"/>
    </row>
    <row r="55">
      <c r="B55" s="13"/>
      <c r="E55" s="13"/>
    </row>
  </sheetData>
  <drawing r:id="rId1"/>
</worksheet>
</file>