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<sst xmlns="http://schemas.openxmlformats.org/spreadsheetml/2006/main" count="165" uniqueCount="141">
  <si>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</si>
  <si>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</si>
  <si>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</si>
  <si>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</si>
  <si>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BUSES</t>
  </si>
  <si>
    <t>COUNTRY OF ORIGIN AT SHELTERS</t>
  </si>
  <si>
    <t>Buses Arrived in Last 7 Days at Landing Zone</t>
  </si>
  <si>
    <t>Total New Arrivals to Date</t>
  </si>
  <si>
    <t>Buses Arrived in Last 7 Days, not at Landing Zone</t>
  </si>
  <si>
    <t>Does not include State operated shelters</t>
  </si>
  <si>
    <t>694 (interpolated)</t>
  </si>
  <si>
    <t>51643*</t>
  </si>
  <si>
    <t>Total Exits from Sheltering System (Individuals)</t>
  </si>
  <si>
    <t>Venezuela</t>
  </si>
  <si>
    <t># OF PEOPLE</t>
  </si>
  <si>
    <t>39409*</t>
  </si>
  <si>
    <t>60 Day Policy Exits in Last 7 Days</t>
  </si>
  <si>
    <t>4731*</t>
  </si>
  <si>
    <t>INACTIVE DATA SETS</t>
  </si>
  <si>
    <t>Total New Arrivals Placed in Shelters by 311 to Date</t>
  </si>
  <si>
    <t>Colombia</t>
  </si>
  <si>
    <t>138*</t>
  </si>
  <si>
    <t>60-Day Policy Exits Returned to Landing Zone in Last 7 Days</t>
  </si>
  <si>
    <t>DAILY COUNT NO LONGER UPDATED HERE.</t>
  </si>
  <si>
    <t>126*</t>
  </si>
  <si>
    <t>135*</t>
  </si>
  <si>
    <t>Landing Zone Arrivals via Texas Contracted Buses in Last 7 Days</t>
  </si>
  <si>
    <t>USA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</si>
  <si>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</si>
  <si>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Total Arrivals to Landing Zone in Last 7 Days</t>
  </si>
  <si>
    <t>Ecuador</t>
  </si>
  <si>
    <t>27*</t>
  </si>
  <si>
    <t>Peru</t>
  </si>
  <si>
    <t>Single Men</t>
  </si>
  <si>
    <t>Haiti</t>
  </si>
  <si>
    <t>Single Women</t>
  </si>
  <si>
    <t>Angola</t>
  </si>
  <si>
    <t xml:space="preserve">Families (individuals in a family unit) </t>
  </si>
  <si>
    <t>Honduras</t>
  </si>
  <si>
    <t>3681*</t>
  </si>
  <si>
    <t>New Arrivals Placed in Shelters from Landing Zone in Last 7 Days</t>
  </si>
  <si>
    <t>Other</t>
  </si>
  <si>
    <t>Bolivia</t>
  </si>
  <si>
    <t>Landing Zone Arrivals as Walk-ins in Last 7 Days</t>
  </si>
  <si>
    <t>Brazil</t>
  </si>
  <si>
    <t>New Arrivals Placed in Shelters Last 7 Days</t>
  </si>
  <si>
    <t>Chile</t>
  </si>
  <si>
    <t>Individuals via non Texas-Contracted Bus</t>
  </si>
  <si>
    <t>Indviduals via non Texas-Contracted Bus with Personal Movement Plans</t>
  </si>
  <si>
    <t>Cuba</t>
  </si>
  <si>
    <t>Individuals Arrived Via Texas Contracted Buses with Personal Movement Plans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</si>
  <si>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</si>
  <si>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</si>
  <si>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</si>
  <si>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</si>
  <si>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</si>
  <si>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</si>
  <si>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</si>
  <si>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</si>
  <si>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</si>
  <si>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</si>
  <si>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</si>
  <si>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</si>
  <si>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</si>
  <si>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</si>
  <si>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</si>
  <si>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</si>
  <si>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</si>
  <si>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</si>
  <si>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</si>
  <si>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</si>
  <si>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</si>
  <si>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</si>
  <si>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</si>
  <si>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</si>
  <si>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</si>
  <si>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</si>
  <si>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</si>
  <si>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</si>
  <si>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</si>
  <si>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</si>
  <si>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</si>
  <si>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</si>
  <si>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Total Shelter Residents</t>
  </si>
  <si>
    <t>Harold Washington Library</t>
  </si>
  <si>
    <t>Total Awaiting Placement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</si>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</sst>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2" fontId="7" numFmtId="0" xfId="0" applyAlignment="1" applyFill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90246693"/>
        <c:axId val="304197965"/>
      </c:areaChart>
      <c:catAx>
        <c:axId val="4902466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4197965"/>
      </c:catAx>
      <c:valAx>
        <c:axId val="3041979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02466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43361684"/>
        <c:axId val="1273528203"/>
      </c:barChart>
      <c:catAx>
        <c:axId val="14433616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3528203"/>
      </c:catAx>
      <c:valAx>
        <c:axId val="12735282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336168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60211242"/>
        <c:axId val="1826619384"/>
      </c:barChart>
      <c:catAx>
        <c:axId val="8602112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6619384"/>
      </c:catAx>
      <c:valAx>
        <c:axId val="18266193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02112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53209993"/>
        <c:axId val="1959782112"/>
      </c:lineChart>
      <c:catAx>
        <c:axId val="8532099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9782112"/>
      </c:catAx>
      <c:valAx>
        <c:axId val="1959782112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32099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08010223"/>
        <c:axId val="767602198"/>
      </c:lineChart>
      <c:catAx>
        <c:axId val="1008010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7602198"/>
      </c:catAx>
      <c:valAx>
        <c:axId val="7676021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80102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1831071"/>
        <c:axId val="1249251398"/>
      </c:barChart>
      <c:catAx>
        <c:axId val="151831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9251398"/>
      </c:catAx>
      <c:valAx>
        <c:axId val="12492513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8310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0</v>
      </c>
      <c r="B1" s="2" t="s">
        <v>2</v>
      </c>
      <c r="C1" s="2" t="s">
        <v>3</v>
      </c>
    </row>
    <row r="2">
      <c r="A2" s="1" t="s">
        <v>1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10" t="s">
        <v>10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4">
        <v>923.0</v>
      </c>
      <c r="C79" s="2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9" t="s">
        <v>23</v>
      </c>
    </row>
    <row r="92">
      <c r="B92" s="21" t="s">
        <v>28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10" t="s">
        <v>39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7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9">
        <v>34904.0</v>
      </c>
      <c r="AJ2" s="9">
        <v>35193.0</v>
      </c>
      <c r="AK2" s="9">
        <v>35393.0</v>
      </c>
      <c r="AL2" s="9">
        <v>35644.0</v>
      </c>
      <c r="AM2" s="9">
        <v>35901.0</v>
      </c>
      <c r="AN2" s="9">
        <v>36178.0</v>
      </c>
      <c r="AO2" s="9">
        <v>36589.0</v>
      </c>
      <c r="AP2" s="9">
        <v>37124.0</v>
      </c>
      <c r="AQ2" s="9">
        <v>37667.0</v>
      </c>
      <c r="AR2" s="9">
        <v>38142.0</v>
      </c>
      <c r="AS2" s="9">
        <v>38650.0</v>
      </c>
      <c r="AT2" s="9">
        <v>39158.0</v>
      </c>
      <c r="AU2" s="9">
        <v>39666.0</v>
      </c>
      <c r="AV2" s="9">
        <v>40345.0</v>
      </c>
      <c r="AW2" s="9">
        <v>40916.0</v>
      </c>
      <c r="AX2" s="9">
        <v>41279.0</v>
      </c>
      <c r="AY2" s="9">
        <v>41728.0</v>
      </c>
      <c r="AZ2" s="9">
        <v>42201.0</v>
      </c>
      <c r="BA2" s="9">
        <v>42637.0</v>
      </c>
      <c r="BB2" s="9">
        <v>43058.0</v>
      </c>
      <c r="BC2" s="9">
        <v>43465.0</v>
      </c>
      <c r="BD2" s="9">
        <v>43751.0</v>
      </c>
      <c r="BE2" s="9">
        <v>44153.0</v>
      </c>
      <c r="BF2" s="9">
        <v>44390.0</v>
      </c>
      <c r="BG2" s="9">
        <v>44655.0</v>
      </c>
      <c r="BH2" s="9">
        <v>44963.0</v>
      </c>
      <c r="BI2" s="9">
        <v>45370.0</v>
      </c>
      <c r="BJ2" s="9">
        <v>45779.0</v>
      </c>
      <c r="BK2" s="9">
        <v>46186.0</v>
      </c>
      <c r="BL2" s="9">
        <v>46611.0</v>
      </c>
      <c r="BM2" s="9">
        <v>46926.0</v>
      </c>
      <c r="BN2" s="9">
        <v>47292.0</v>
      </c>
      <c r="BO2" s="9">
        <v>47580.0</v>
      </c>
      <c r="BP2" s="9">
        <v>47958.0</v>
      </c>
      <c r="BQ2" s="9">
        <v>48360.0</v>
      </c>
      <c r="BR2" s="9">
        <v>48756.0</v>
      </c>
      <c r="BS2" s="9">
        <v>49164.0</v>
      </c>
      <c r="BT2" s="9">
        <v>49532.0</v>
      </c>
      <c r="BU2" s="9">
        <v>49899.0</v>
      </c>
      <c r="BV2" s="9">
        <v>50278.0</v>
      </c>
      <c r="BW2" s="9">
        <v>50666.0</v>
      </c>
      <c r="BX2" s="9">
        <v>50970.0</v>
      </c>
      <c r="BY2" s="9">
        <v>51222.0</v>
      </c>
      <c r="BZ2" s="9">
        <v>51486.0</v>
      </c>
      <c r="CA2" s="9">
        <v>51643.0</v>
      </c>
      <c r="CB2" s="12" t="s">
        <v>11</v>
      </c>
      <c r="CC2" s="12">
        <v>51644.0</v>
      </c>
      <c r="CD2" s="12">
        <v>51649.0</v>
      </c>
      <c r="CE2" s="12">
        <v>51779.0</v>
      </c>
    </row>
    <row r="3">
      <c r="A3" s="2" t="s">
        <v>12</v>
      </c>
      <c r="D3" s="13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9">
        <v>18070.0</v>
      </c>
      <c r="AL3" s="2">
        <v>18715.0</v>
      </c>
      <c r="AM3" s="9">
        <v>19332.0</v>
      </c>
      <c r="AN3" s="9">
        <v>19977.0</v>
      </c>
      <c r="AO3" s="9">
        <v>20716.0</v>
      </c>
      <c r="AP3" s="9">
        <v>21473.0</v>
      </c>
      <c r="AQ3" s="9">
        <v>22343.0</v>
      </c>
      <c r="AR3" s="9">
        <v>23196.0</v>
      </c>
      <c r="AS3" s="9">
        <v>24149.0</v>
      </c>
      <c r="AT3" s="9">
        <v>25029.0</v>
      </c>
      <c r="AU3" s="9">
        <v>26279.0</v>
      </c>
      <c r="AV3" s="9">
        <v>26858.0</v>
      </c>
      <c r="AW3" s="9">
        <v>27676.0</v>
      </c>
      <c r="AX3" s="9">
        <v>28372.0</v>
      </c>
      <c r="AY3" s="9">
        <v>28912.0</v>
      </c>
      <c r="AZ3" s="9">
        <v>29525.0</v>
      </c>
      <c r="BA3" s="9">
        <v>30104.0</v>
      </c>
      <c r="BB3" s="9">
        <v>30741.0</v>
      </c>
      <c r="BC3" s="9">
        <v>31340.0</v>
      </c>
      <c r="BD3" s="9">
        <v>31840.0</v>
      </c>
      <c r="BE3" s="9">
        <v>32501.0</v>
      </c>
      <c r="BF3" s="9">
        <v>32871.0</v>
      </c>
      <c r="BG3" s="9">
        <v>33157.0</v>
      </c>
      <c r="BH3" s="9">
        <v>33456.0</v>
      </c>
      <c r="BI3" s="9">
        <v>33746.0</v>
      </c>
      <c r="BJ3" s="9">
        <v>34008.0</v>
      </c>
      <c r="BK3" s="9">
        <v>34322.0</v>
      </c>
      <c r="BL3" s="9">
        <v>34593.0</v>
      </c>
      <c r="BM3" s="9">
        <v>34876.0</v>
      </c>
      <c r="BN3" s="9">
        <v>35119.0</v>
      </c>
      <c r="BO3" s="9">
        <v>35417.0</v>
      </c>
      <c r="BP3" s="9">
        <v>35608.0</v>
      </c>
      <c r="BQ3" s="9">
        <v>35867.0</v>
      </c>
      <c r="BR3" s="9">
        <v>36110.0</v>
      </c>
      <c r="BS3" s="9">
        <v>36377.0</v>
      </c>
      <c r="BT3" s="9">
        <v>36689.0</v>
      </c>
      <c r="BU3" s="9">
        <v>37068.0</v>
      </c>
      <c r="BV3" s="9">
        <v>37326.0</v>
      </c>
      <c r="BW3" s="9">
        <v>37583.0</v>
      </c>
      <c r="BX3" s="9">
        <v>38099.0</v>
      </c>
      <c r="BY3" s="9">
        <v>38581.0</v>
      </c>
      <c r="BZ3" s="9">
        <v>38581.0</v>
      </c>
      <c r="CA3" s="9">
        <v>39409.0</v>
      </c>
      <c r="CB3" s="12" t="s">
        <v>15</v>
      </c>
      <c r="CC3" s="12" t="s">
        <v>15</v>
      </c>
      <c r="CD3" s="12">
        <v>39745.0</v>
      </c>
      <c r="CE3" s="12">
        <v>40670.0</v>
      </c>
    </row>
    <row r="4">
      <c r="D4" s="13"/>
    </row>
    <row r="5">
      <c r="A5" s="2" t="s">
        <v>18</v>
      </c>
      <c r="D5" s="13"/>
    </row>
    <row r="6">
      <c r="A6" s="2" t="s">
        <v>19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9">
        <v>7175.0</v>
      </c>
      <c r="AL6" s="2">
        <v>7178.0</v>
      </c>
      <c r="AM6" s="2">
        <v>7182.0</v>
      </c>
      <c r="AN6" s="9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6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10">
        <v>0.0</v>
      </c>
      <c r="BU3" s="10">
        <v>0.0</v>
      </c>
      <c r="BV3" s="10">
        <v>0.0</v>
      </c>
      <c r="BW3" s="10">
        <v>0.0</v>
      </c>
      <c r="BX3" s="10">
        <v>0.0</v>
      </c>
      <c r="BY3" s="10">
        <v>0.0</v>
      </c>
      <c r="BZ3" s="10">
        <v>0.0</v>
      </c>
      <c r="CA3" s="10">
        <v>0.0</v>
      </c>
      <c r="CB3" s="10">
        <v>0.0</v>
      </c>
      <c r="CC3" s="10">
        <v>0.0</v>
      </c>
      <c r="CD3" s="10">
        <v>0.0</v>
      </c>
      <c r="CE3" s="10">
        <v>0.0</v>
      </c>
    </row>
    <row r="4">
      <c r="A4" s="2" t="s">
        <v>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5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14</v>
      </c>
      <c r="C6" s="15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16</v>
      </c>
      <c r="C7" s="15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10" t="s">
        <v>21</v>
      </c>
      <c r="CC7" s="10" t="s">
        <v>21</v>
      </c>
      <c r="CD7" s="10">
        <v>166.0</v>
      </c>
      <c r="CE7" s="10">
        <v>267.0</v>
      </c>
    </row>
    <row r="8">
      <c r="A8" s="2" t="s">
        <v>22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10" t="s">
        <v>24</v>
      </c>
      <c r="CC8" s="10" t="s">
        <v>24</v>
      </c>
      <c r="CD8" s="10">
        <v>135.0</v>
      </c>
      <c r="CE8" s="10" t="s">
        <v>25</v>
      </c>
    </row>
    <row r="9">
      <c r="A9" s="2" t="s">
        <v>26</v>
      </c>
      <c r="C9" s="15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29</v>
      </c>
      <c r="C10" s="15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33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35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37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2" t="s">
        <v>40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2"/>
    </row>
    <row r="18">
      <c r="A18" s="2" t="s">
        <v>18</v>
      </c>
      <c r="C18" s="22"/>
    </row>
    <row r="19">
      <c r="A19" s="2" t="s">
        <v>43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45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47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48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50</v>
      </c>
      <c r="C23" s="15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2"/>
      <c r="C2" s="2"/>
      <c r="D2" s="7" t="s">
        <v>1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6" t="s">
        <v>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2" t="s">
        <v>13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6" t="s">
        <v>17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7">
        <v>1014.0</v>
      </c>
      <c r="CD4" s="18">
        <v>879.0</v>
      </c>
    </row>
    <row r="5">
      <c r="A5" s="2" t="s">
        <v>20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7">
        <v>144.0</v>
      </c>
      <c r="CD5" s="18">
        <v>135.0</v>
      </c>
    </row>
    <row r="6">
      <c r="A6" s="2" t="s">
        <v>27</v>
      </c>
      <c r="D6" s="13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7">
        <v>17.0</v>
      </c>
      <c r="CD6" s="18">
        <v>48.0</v>
      </c>
    </row>
    <row r="7">
      <c r="A7" s="2" t="s">
        <v>30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0" t="s">
        <v>31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7">
        <v>44.0</v>
      </c>
      <c r="CD7" s="18">
        <v>39.0</v>
      </c>
    </row>
    <row r="8">
      <c r="A8" s="2" t="s">
        <v>32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7">
        <v>22.0</v>
      </c>
      <c r="CD8" s="18">
        <v>20.0</v>
      </c>
    </row>
    <row r="9">
      <c r="A9" s="2" t="s">
        <v>34</v>
      </c>
      <c r="D9" s="13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7">
        <v>28.0</v>
      </c>
      <c r="CD9" s="18">
        <v>18.0</v>
      </c>
    </row>
    <row r="10">
      <c r="A10" s="2" t="s">
        <v>36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7">
        <v>14.0</v>
      </c>
      <c r="CD10" s="18">
        <v>14.0</v>
      </c>
    </row>
    <row r="11">
      <c r="A11" s="2" t="s">
        <v>38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7">
        <v>11.0</v>
      </c>
      <c r="CD11" s="18">
        <v>11.0</v>
      </c>
    </row>
    <row r="12">
      <c r="A12" s="2" t="s">
        <v>41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3"/>
      <c r="AB12" s="22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7">
        <v>10.0</v>
      </c>
      <c r="CD12" s="18">
        <v>10.0</v>
      </c>
    </row>
    <row r="13">
      <c r="A13" s="2" t="s">
        <v>42</v>
      </c>
      <c r="D13" s="13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2" t="s">
        <v>44</v>
      </c>
      <c r="D14" s="13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2" t="s">
        <v>46</v>
      </c>
      <c r="D15" s="13"/>
      <c r="S15" s="13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2" t="s">
        <v>49</v>
      </c>
      <c r="B16" s="2">
        <v>10.0</v>
      </c>
      <c r="C16" s="2">
        <v>10.0</v>
      </c>
      <c r="D16" s="13"/>
      <c r="S16" s="13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2" t="s">
        <v>51</v>
      </c>
      <c r="B17" s="2">
        <v>10.0</v>
      </c>
      <c r="C17" s="2">
        <v>10.0</v>
      </c>
      <c r="D17" s="13"/>
      <c r="S17" s="13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2" t="s">
        <v>52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3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2" t="s">
        <v>53</v>
      </c>
      <c r="D19" s="13"/>
      <c r="Q19" s="2">
        <v>10.0</v>
      </c>
      <c r="R19" s="2">
        <v>10.0</v>
      </c>
      <c r="S19" s="2">
        <v>10.0</v>
      </c>
      <c r="T19" s="15"/>
      <c r="U19" s="23"/>
      <c r="V19" s="26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2" t="s">
        <v>54</v>
      </c>
      <c r="D20" s="13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2" t="s">
        <v>55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2" t="s">
        <v>56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2" t="s">
        <v>57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2" t="s">
        <v>58</v>
      </c>
      <c r="B24" s="2">
        <v>11.0</v>
      </c>
      <c r="C24" s="2">
        <v>11.0</v>
      </c>
      <c r="D24" s="13"/>
      <c r="E24" s="13"/>
      <c r="F24" s="13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2" t="s">
        <v>59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28"/>
      <c r="AJ25" s="28"/>
      <c r="AK25" s="28"/>
      <c r="AL25" s="28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2" t="s">
        <v>60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3"/>
      <c r="F27" s="13"/>
      <c r="J27" s="13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3"/>
      <c r="E28" s="13"/>
      <c r="F28" s="13"/>
      <c r="J28" s="13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3"/>
      <c r="F29" s="13"/>
      <c r="J29" s="13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3"/>
      <c r="F30" s="13"/>
      <c r="J30" s="13"/>
      <c r="T30" s="13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3"/>
      <c r="F31" s="13"/>
      <c r="J31" s="13"/>
      <c r="T31" s="13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3"/>
      <c r="F32" s="13"/>
      <c r="J32" s="13"/>
      <c r="T32" s="13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3"/>
      <c r="F33" s="13"/>
      <c r="J33" s="13"/>
      <c r="T33" s="13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3"/>
      <c r="F34" s="13"/>
      <c r="J34" s="13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3"/>
      <c r="F35" s="13"/>
      <c r="J35" s="13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3"/>
      <c r="F36" s="13"/>
      <c r="J36" s="13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3"/>
      <c r="F37" s="13"/>
      <c r="J37" s="13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3"/>
      <c r="J38" s="13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3"/>
      <c r="J39" s="13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3"/>
      <c r="J40" s="13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3"/>
      <c r="J41" s="13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3"/>
      <c r="J42" s="13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3"/>
      <c r="J43" s="13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3"/>
      <c r="J44" s="13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3"/>
      <c r="J45" s="13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3"/>
      <c r="J46" s="13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3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3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3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3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3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3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3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3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3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3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3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61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2" t="s">
        <v>62</v>
      </c>
      <c r="B2" s="13"/>
      <c r="F2" s="13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2" t="s">
        <v>63</v>
      </c>
      <c r="B3" s="2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2" t="s">
        <v>64</v>
      </c>
      <c r="B4" s="22"/>
      <c r="F4" s="13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2">
        <v>0.0</v>
      </c>
      <c r="AJ4" s="2">
        <v>0.0</v>
      </c>
      <c r="AK4" s="2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2" t="s">
        <v>65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2" t="s">
        <v>66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2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2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2" t="s">
        <v>69</v>
      </c>
      <c r="B10" s="22"/>
      <c r="F10" s="13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3"/>
      <c r="J11" s="22"/>
      <c r="O11" s="15"/>
      <c r="AG11" s="2"/>
      <c r="AH11" s="2"/>
      <c r="AI11" s="2"/>
      <c r="AJ11" s="2"/>
      <c r="AK11" s="2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2" t="s">
        <v>71</v>
      </c>
      <c r="B12" s="36"/>
      <c r="F12" s="13"/>
      <c r="J12" s="22"/>
      <c r="O12" s="15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2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2">
        <v>232.0</v>
      </c>
      <c r="AJ14" s="2">
        <v>217.0</v>
      </c>
      <c r="AK14" s="2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2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2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2"/>
      <c r="F19" s="13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2"/>
      <c r="F20" s="13"/>
      <c r="J20" s="22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2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2"/>
      <c r="F22" s="13"/>
      <c r="J22" s="22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2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2"/>
      <c r="F24" s="13"/>
      <c r="J24" s="22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84</v>
      </c>
      <c r="B25" s="22"/>
      <c r="F25" s="13"/>
      <c r="J25" s="22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2" t="s">
        <v>86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2" t="s">
        <v>87</v>
      </c>
      <c r="B27" s="22"/>
      <c r="F27" s="13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2">
        <v>577.0</v>
      </c>
      <c r="AJ27" s="2">
        <v>571.0</v>
      </c>
      <c r="AK27" s="2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2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2">
        <v>90.0</v>
      </c>
      <c r="AJ28" s="2">
        <v>94.0</v>
      </c>
      <c r="AK28" s="2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2" t="s">
        <v>89</v>
      </c>
      <c r="B29" s="36"/>
      <c r="F29" s="13"/>
      <c r="J29" s="22"/>
      <c r="O29" s="15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2" t="s">
        <v>90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2" t="s">
        <v>91</v>
      </c>
      <c r="B31" s="36"/>
      <c r="F31" s="13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2" t="s">
        <v>92</v>
      </c>
      <c r="B32" s="36"/>
      <c r="F32" s="2">
        <v>25.0</v>
      </c>
      <c r="G32" s="2">
        <v>40.0</v>
      </c>
      <c r="H32" s="2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2">
        <v>48.0</v>
      </c>
      <c r="AJ32" s="2">
        <v>48.0</v>
      </c>
      <c r="AK32" s="2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2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2" t="s">
        <v>94</v>
      </c>
      <c r="B34" s="22"/>
      <c r="J34" s="22"/>
      <c r="O34" s="15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2" t="s">
        <v>95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2">
        <v>1128.0</v>
      </c>
      <c r="AJ35" s="2">
        <v>1068.0</v>
      </c>
      <c r="AK35" s="2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2" t="s">
        <v>96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2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2" t="s">
        <v>98</v>
      </c>
      <c r="B38" s="22">
        <v>92.0</v>
      </c>
      <c r="C38" s="22">
        <v>90.0</v>
      </c>
      <c r="J38" s="22"/>
      <c r="O38" s="15"/>
      <c r="Q38" s="2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2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2" t="s">
        <v>100</v>
      </c>
      <c r="B40" s="22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42" t="s">
        <v>101</v>
      </c>
      <c r="BZ40" s="34">
        <v>54.0</v>
      </c>
      <c r="CA40" s="34"/>
      <c r="CB40" s="34"/>
      <c r="CC40" s="34"/>
      <c r="CD40" s="34"/>
      <c r="CE40" s="34"/>
    </row>
    <row r="41">
      <c r="A41" s="2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2" t="s">
        <v>103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2">
        <v>843.0</v>
      </c>
      <c r="AJ42" s="2">
        <v>860.0</v>
      </c>
      <c r="AK42" s="2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2" t="s">
        <v>104</v>
      </c>
      <c r="B43" s="22"/>
      <c r="O43" s="15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2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2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2" t="s">
        <v>107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5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5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5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5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5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5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5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5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5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5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5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5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5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5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5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5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5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5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5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5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5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83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2">
        <v>5413.0</v>
      </c>
      <c r="S2" s="8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85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2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26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83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85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16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22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46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20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30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52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53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34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55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6"/>
      <c r="E23" s="13"/>
      <c r="F23" s="13"/>
      <c r="I23" s="13"/>
      <c r="L23" s="26"/>
      <c r="M23" s="15"/>
      <c r="P23" s="13"/>
      <c r="Q23" s="15"/>
      <c r="R23" s="23"/>
      <c r="S23" s="26"/>
      <c r="Y23" s="15"/>
      <c r="Z23" s="44"/>
      <c r="AA23" s="26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6"/>
      <c r="E24" s="13"/>
      <c r="F24" s="13"/>
      <c r="I24" s="13"/>
      <c r="L24" s="26"/>
      <c r="M24" s="15"/>
      <c r="P24" s="13"/>
      <c r="Q24" s="15"/>
      <c r="R24" s="23"/>
      <c r="S24" s="26"/>
      <c r="Y24" s="15"/>
      <c r="Z24" s="44"/>
      <c r="AA24" s="26"/>
    </row>
    <row r="25">
      <c r="B25" s="26"/>
      <c r="E25" s="13"/>
      <c r="F25" s="13"/>
      <c r="G25" s="26"/>
      <c r="H25" s="15"/>
      <c r="I25" s="13"/>
      <c r="L25" s="26"/>
      <c r="M25" s="15"/>
      <c r="P25" s="13"/>
      <c r="Q25" s="15"/>
      <c r="R25" s="23"/>
      <c r="S25" s="26"/>
      <c r="Y25" s="15"/>
      <c r="Z25" s="44"/>
      <c r="AA25" s="26"/>
      <c r="AB25" s="15"/>
      <c r="AC25" s="23"/>
      <c r="AD25" s="26"/>
      <c r="AE25" s="15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3"/>
      <c r="E26" s="13"/>
      <c r="F26" s="13"/>
      <c r="G26" s="26"/>
      <c r="H26" s="15"/>
      <c r="I26" s="13"/>
      <c r="L26" s="26"/>
      <c r="M26" s="15"/>
      <c r="N26" s="26"/>
      <c r="O26" s="15"/>
      <c r="P26" s="13"/>
      <c r="Q26" s="15"/>
      <c r="R26" s="23"/>
      <c r="S26" s="26"/>
      <c r="AB26" s="44"/>
      <c r="AC26" s="26"/>
      <c r="AD26" s="45"/>
      <c r="AE26" s="15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3"/>
      <c r="F27" s="13"/>
      <c r="G27" s="26"/>
      <c r="H27" s="15"/>
      <c r="I27" s="13"/>
      <c r="L27" s="26"/>
      <c r="M27" s="15"/>
      <c r="N27" s="26"/>
      <c r="O27" s="15"/>
      <c r="P27" s="13"/>
      <c r="Q27" s="15"/>
      <c r="R27" s="44"/>
      <c r="S27" s="26"/>
      <c r="X27" s="13"/>
      <c r="AA27" s="13"/>
      <c r="AB27" s="44"/>
      <c r="AC27" s="23"/>
      <c r="AD27" s="23"/>
    </row>
    <row r="28">
      <c r="B28" s="26"/>
      <c r="E28" s="13"/>
      <c r="F28" s="13"/>
      <c r="G28" s="26"/>
      <c r="H28" s="15"/>
      <c r="L28" s="26"/>
      <c r="M28" s="15"/>
      <c r="N28" s="26"/>
      <c r="O28" s="15"/>
      <c r="P28" s="13"/>
      <c r="Q28" s="15"/>
      <c r="R28" s="44"/>
      <c r="S28" s="26"/>
      <c r="X28" s="13"/>
      <c r="AA28" s="13"/>
      <c r="AB28" s="15"/>
      <c r="AC28" s="23"/>
      <c r="AD28" s="23"/>
    </row>
    <row r="29">
      <c r="B29" s="13"/>
      <c r="C29" s="22"/>
      <c r="E29" s="13"/>
      <c r="F29" s="13"/>
      <c r="G29" s="26"/>
      <c r="H29" s="15"/>
      <c r="L29" s="26"/>
      <c r="M29" s="15"/>
      <c r="N29" s="26"/>
      <c r="O29" s="15"/>
      <c r="P29" s="13"/>
      <c r="Q29" s="15"/>
      <c r="R29" s="44"/>
      <c r="S29" s="26"/>
      <c r="X29" s="13"/>
      <c r="AA29" s="13"/>
      <c r="AC29" s="26"/>
      <c r="AD29" s="15"/>
    </row>
    <row r="30">
      <c r="B30" s="13"/>
      <c r="C30" s="22"/>
      <c r="E30" s="13"/>
      <c r="F30" s="13"/>
      <c r="G30" s="26"/>
      <c r="H30" s="15"/>
      <c r="N30" s="26"/>
      <c r="O30" s="15"/>
      <c r="P30" s="13"/>
      <c r="X30" s="13"/>
      <c r="AA30" s="13"/>
      <c r="AC30" s="26"/>
      <c r="AD30" s="15"/>
    </row>
    <row r="31">
      <c r="B31" s="13"/>
      <c r="C31" s="22"/>
      <c r="E31" s="13"/>
      <c r="F31" s="13"/>
      <c r="G31" s="26"/>
      <c r="H31" s="15"/>
      <c r="N31" s="26"/>
      <c r="O31" s="15"/>
      <c r="P31" s="13"/>
      <c r="X31" s="13"/>
      <c r="AA31" s="13"/>
      <c r="AC31" s="23"/>
      <c r="AD31" s="44"/>
    </row>
    <row r="32">
      <c r="B32" s="13"/>
      <c r="C32" s="22"/>
      <c r="E32" s="13"/>
      <c r="F32" s="13"/>
      <c r="G32" s="26"/>
      <c r="H32" s="15"/>
      <c r="N32" s="26"/>
      <c r="O32" s="15"/>
      <c r="P32" s="13"/>
      <c r="X32" s="13"/>
      <c r="AA32" s="13"/>
      <c r="AC32" s="26"/>
      <c r="AD32" s="15"/>
    </row>
    <row r="33">
      <c r="B33" s="13"/>
      <c r="C33" s="22"/>
      <c r="E33" s="13"/>
      <c r="F33" s="13"/>
      <c r="G33" s="26"/>
      <c r="H33" s="15"/>
      <c r="N33" s="26"/>
      <c r="O33" s="15"/>
      <c r="X33" s="13"/>
      <c r="AA33" s="13"/>
      <c r="AC33" s="26"/>
      <c r="AD33" s="15"/>
    </row>
    <row r="34">
      <c r="E34" s="13"/>
      <c r="F34" s="13"/>
      <c r="G34" s="26"/>
      <c r="H34" s="15"/>
      <c r="N34" s="26"/>
      <c r="O34" s="15"/>
      <c r="X34" s="13"/>
      <c r="AA34" s="13"/>
      <c r="AC34" s="26"/>
      <c r="AD34" s="15"/>
    </row>
    <row r="35">
      <c r="B35" s="13"/>
      <c r="C35" s="22"/>
      <c r="E35" s="13"/>
      <c r="F35" s="13"/>
      <c r="G35" s="26"/>
      <c r="H35" s="15"/>
      <c r="N35" s="26"/>
      <c r="O35" s="15"/>
      <c r="X35" s="13"/>
      <c r="AA35" s="13"/>
      <c r="AC35" s="26"/>
      <c r="AD35" s="15"/>
    </row>
    <row r="36">
      <c r="B36" s="13"/>
      <c r="C36" s="22"/>
      <c r="E36" s="13"/>
      <c r="F36" s="13"/>
      <c r="G36" s="26"/>
      <c r="H36" s="15"/>
      <c r="N36" s="26"/>
      <c r="O36" s="15"/>
      <c r="X36" s="13"/>
      <c r="AA36" s="13"/>
      <c r="AC36" s="26"/>
      <c r="AD36" s="15"/>
    </row>
    <row r="37">
      <c r="B37" s="13"/>
      <c r="C37" s="22"/>
      <c r="E37" s="13"/>
      <c r="F37" s="13"/>
      <c r="G37" s="26"/>
      <c r="H37" s="15"/>
      <c r="N37" s="26"/>
      <c r="O37" s="15"/>
      <c r="X37" s="13"/>
      <c r="AA37" s="13"/>
    </row>
    <row r="38">
      <c r="B38" s="13"/>
      <c r="C38" s="22"/>
      <c r="E38" s="13"/>
      <c r="F38" s="13"/>
      <c r="G38" s="26"/>
      <c r="H38" s="15"/>
      <c r="N38" s="26"/>
      <c r="O38" s="15"/>
      <c r="X38" s="13"/>
      <c r="AA38" s="13"/>
    </row>
    <row r="39">
      <c r="B39" s="13"/>
      <c r="C39" s="22"/>
      <c r="E39" s="13"/>
      <c r="F39" s="13"/>
      <c r="G39" s="26"/>
      <c r="H39" s="15"/>
      <c r="N39" s="26"/>
      <c r="O39" s="15"/>
      <c r="X39" s="13"/>
      <c r="AA39" s="13"/>
    </row>
    <row r="40">
      <c r="B40" s="13"/>
      <c r="C40" s="22"/>
      <c r="E40" s="13"/>
      <c r="F40" s="13"/>
      <c r="G40" s="26"/>
      <c r="H40" s="15"/>
      <c r="X40" s="13"/>
      <c r="AA40" s="13"/>
    </row>
    <row r="41">
      <c r="B41" s="13"/>
      <c r="C41" s="22"/>
      <c r="E41" s="13"/>
      <c r="G41" s="26"/>
      <c r="H41" s="15"/>
      <c r="X41" s="13"/>
      <c r="AA41" s="13"/>
    </row>
    <row r="42">
      <c r="B42" s="13"/>
      <c r="E42" s="13"/>
      <c r="G42" s="26"/>
      <c r="H42" s="15"/>
      <c r="X42" s="13"/>
      <c r="AA42" s="13"/>
    </row>
    <row r="43">
      <c r="B43" s="13"/>
      <c r="E43" s="13"/>
      <c r="G43" s="26"/>
      <c r="H43" s="15"/>
      <c r="X43" s="13"/>
      <c r="AA43" s="13"/>
    </row>
    <row r="44">
      <c r="B44" s="13"/>
      <c r="E44" s="13"/>
      <c r="G44" s="26"/>
      <c r="H44" s="15"/>
      <c r="X44" s="13"/>
      <c r="AA44" s="13"/>
    </row>
    <row r="45">
      <c r="B45" s="13"/>
      <c r="E45" s="13"/>
      <c r="G45" s="26"/>
      <c r="H45" s="15"/>
      <c r="X45" s="13"/>
      <c r="AA45" s="13"/>
    </row>
    <row r="46">
      <c r="B46" s="13"/>
      <c r="E46" s="13"/>
      <c r="G46" s="26"/>
      <c r="H46" s="15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