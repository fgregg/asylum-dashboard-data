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<sst xmlns="http://schemas.openxmlformats.org/spreadsheetml/2006/main" count="165" uniqueCount="141">
  <si>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</si>
  <si>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</si>
  <si>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</si>
  <si>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</si>
  <si>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BUSES</t>
  </si>
  <si>
    <t>COUNTRY OF ORIGIN AT SHELTERS</t>
  </si>
  <si>
    <t>Total New Arrivals to Date</t>
  </si>
  <si>
    <t>Buses Arrived in Last 7 Days at Landing Zone</t>
  </si>
  <si>
    <t>694 (interpolated)</t>
  </si>
  <si>
    <t>51643*</t>
  </si>
  <si>
    <t>Does not include State operated shelters</t>
  </si>
  <si>
    <t>Total Exits from Sheltering System (Individuals)</t>
  </si>
  <si>
    <t>Buses Arrived in Last 7 Days, not at Landing Zone</t>
  </si>
  <si>
    <t>Venezuela</t>
  </si>
  <si>
    <t>39409*</t>
  </si>
  <si>
    <t>DAILY COUNT NO LONGER UPDATED HERE.</t>
  </si>
  <si>
    <t>INACTIVE DATA SETS</t>
  </si>
  <si>
    <t>Total New Arrivals Placed in Shelters by 311 to Date</t>
  </si>
  <si>
    <t># OF PEOPLE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</si>
  <si>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</si>
  <si>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60 Day Policy Exits in Last 7 Days</t>
  </si>
  <si>
    <t>4731*</t>
  </si>
  <si>
    <t>Colombia</t>
  </si>
  <si>
    <t>138*</t>
  </si>
  <si>
    <t>60-Day Policy Exits Returned to Landing Zone in Last 7 Days</t>
  </si>
  <si>
    <t>3681*</t>
  </si>
  <si>
    <t>126*</t>
  </si>
  <si>
    <t>135*</t>
  </si>
  <si>
    <t>Landing Zone Arrivals via Texas Contracted Buses in Last 7 Days</t>
  </si>
  <si>
    <t>USA</t>
  </si>
  <si>
    <t>Total Arrivals to Landing Zone in Last 7 Days</t>
  </si>
  <si>
    <t>Ecuador</t>
  </si>
  <si>
    <t>27*</t>
  </si>
  <si>
    <t>Single Men</t>
  </si>
  <si>
    <t>Peru</t>
  </si>
  <si>
    <t>STAGING AREA</t>
  </si>
  <si>
    <t>Single Women</t>
  </si>
  <si>
    <t>Haiti</t>
  </si>
  <si>
    <t xml:space="preserve">Families (individuals in a family unit) </t>
  </si>
  <si>
    <t>Angola</t>
  </si>
  <si>
    <t>Landing Zone</t>
  </si>
  <si>
    <t>New Arrivals Placed in Shelters from Landing Zone in Last 7 Days</t>
  </si>
  <si>
    <t>Honduras</t>
  </si>
  <si>
    <t>Landing Zone Arrivals as Walk-ins in Last 7 Days</t>
  </si>
  <si>
    <t>O'Hare Airport</t>
  </si>
  <si>
    <t>Other</t>
  </si>
  <si>
    <t>New Arrivals Placed in Shelters Last 7 Days</t>
  </si>
  <si>
    <t>Individuals via non Texas-Contracted Bus</t>
  </si>
  <si>
    <t>Midway Airport</t>
  </si>
  <si>
    <t>Indviduals via non Texas-Contracted Bus with Personal Movement Plans</t>
  </si>
  <si>
    <t>Bolivia</t>
  </si>
  <si>
    <t>Individuals Arrived Via Texas Contracted Buses with Personal Movement Plans</t>
  </si>
  <si>
    <t>Police Districts (All)</t>
  </si>
  <si>
    <t>Brazil</t>
  </si>
  <si>
    <t>Chile</t>
  </si>
  <si>
    <t>STAGING AREA TOTAL</t>
  </si>
  <si>
    <t>Cuba</t>
  </si>
  <si>
    <t>Dominican Republic</t>
  </si>
  <si>
    <t>El Salvador</t>
  </si>
  <si>
    <t>Guatemala</t>
  </si>
  <si>
    <t>Minors Currently in Staging Area</t>
  </si>
  <si>
    <t>Mauritania</t>
  </si>
  <si>
    <t>Mexico</t>
  </si>
  <si>
    <t>Morocco</t>
  </si>
  <si>
    <t>SHELTER</t>
  </si>
  <si>
    <t>Nicaragua</t>
  </si>
  <si>
    <t>American Islamic College</t>
  </si>
  <si>
    <t>Russia</t>
  </si>
  <si>
    <t>Sudan</t>
  </si>
  <si>
    <t>Midway Shelter</t>
  </si>
  <si>
    <t>Unknown</t>
  </si>
  <si>
    <t>MWRD</t>
  </si>
  <si>
    <t>South DuSable</t>
  </si>
  <si>
    <t>YWLA</t>
  </si>
  <si>
    <t>INACTIVE SHELTERS</t>
  </si>
  <si>
    <t>Total Shelter Residents</t>
  </si>
  <si>
    <t>Best Western Hotel</t>
  </si>
  <si>
    <t>Brands Park</t>
  </si>
  <si>
    <t>Total Awaiting Placement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</si>
  <si>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</si>
  <si>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</si>
  <si>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</si>
  <si>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</si>
  <si>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</si>
  <si>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</si>
  <si>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</si>
  <si>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</si>
  <si>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</si>
  <si>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</si>
  <si>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</si>
  <si>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</si>
  <si>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</si>
  <si>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</si>
  <si>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</si>
  <si>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</si>
  <si>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</si>
  <si>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</si>
  <si>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</si>
  <si>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</si>
  <si>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</si>
  <si>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</si>
  <si>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</si>
  <si>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</si>
  <si>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</si>
  <si>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</si>
  <si>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</si>
  <si>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</si>
  <si>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</si>
  <si>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</si>
  <si>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</si>
  <si>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</si>
  <si>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</si>
  <si>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</si>
  <si>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</si>
  <si>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</si>
  <si>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</si>
  <si>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Minors Currently in Shelters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</si>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</sst>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2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2" fontId="1" numFmtId="0" xfId="0" applyAlignment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2" fontId="7" numFmtId="0" xfId="0" applyAlignment="1" applyFont="1">
      <alignment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2" numFmtId="0" xfId="0" applyFont="1"/>
    <xf borderId="0" fillId="0" fontId="6" numFmtId="167" xfId="0" applyAlignment="1" applyFont="1" applyNumberFormat="1">
      <alignment readingOrder="0" vertical="bottom"/>
    </xf>
    <xf borderId="0" fillId="0" fontId="0" numFmtId="0" xfId="0" applyAlignment="1" applyFont="1">
      <alignment readingOrder="0"/>
    </xf>
    <xf borderId="0" fillId="0" fontId="6" numFmtId="3" xfId="0" applyAlignment="1" applyFont="1" applyNumberFormat="1">
      <alignment horizontal="right" readingOrder="0" vertical="bottom"/>
    </xf>
    <xf borderId="0" fillId="0" fontId="6" numFmtId="0" xfId="0" applyAlignment="1" applyFont="1">
      <alignment horizontal="right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ont="1">
      <alignment readingOrder="0"/>
    </xf>
    <xf borderId="0" fillId="2" fontId="1" numFmtId="0" xfId="0" applyAlignment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043550983"/>
        <c:axId val="1650388932"/>
      </c:areaChart>
      <c:catAx>
        <c:axId val="20435509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0388932"/>
      </c:catAx>
      <c:valAx>
        <c:axId val="16503889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35509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367076187"/>
        <c:axId val="941976771"/>
      </c:barChart>
      <c:catAx>
        <c:axId val="13670761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1976771"/>
      </c:catAx>
      <c:valAx>
        <c:axId val="9419767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707618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370194369"/>
        <c:axId val="346909780"/>
      </c:barChart>
      <c:catAx>
        <c:axId val="13701943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6909780"/>
      </c:catAx>
      <c:valAx>
        <c:axId val="3469097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01943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742419738"/>
        <c:axId val="125197071"/>
      </c:lineChart>
      <c:catAx>
        <c:axId val="7424197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197071"/>
      </c:catAx>
      <c:valAx>
        <c:axId val="12519707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24197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73363966"/>
        <c:axId val="81605579"/>
      </c:lineChart>
      <c:catAx>
        <c:axId val="2733639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605579"/>
      </c:catAx>
      <c:valAx>
        <c:axId val="816055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33639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088023857"/>
        <c:axId val="1596615919"/>
      </c:barChart>
      <c:catAx>
        <c:axId val="20880238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6615919"/>
      </c:catAx>
      <c:valAx>
        <c:axId val="15966159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80238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3" t="s">
        <v>0</v>
      </c>
      <c r="B1" s="3" t="s">
        <v>2</v>
      </c>
      <c r="C1" s="3" t="s">
        <v>3</v>
      </c>
    </row>
    <row r="2">
      <c r="A2" s="2" t="s">
        <v>1</v>
      </c>
    </row>
    <row r="3">
      <c r="A3" s="4">
        <v>45367.0</v>
      </c>
      <c r="B3" s="3">
        <v>0.0</v>
      </c>
    </row>
    <row r="4">
      <c r="A4" s="4">
        <v>45374.0</v>
      </c>
      <c r="B4" s="3">
        <v>22.0</v>
      </c>
    </row>
    <row r="5">
      <c r="A5" s="4">
        <v>45375.0</v>
      </c>
      <c r="B5" s="3">
        <v>24.0</v>
      </c>
    </row>
    <row r="6">
      <c r="A6" s="4">
        <v>45376.0</v>
      </c>
      <c r="B6" s="3">
        <v>24.0</v>
      </c>
    </row>
    <row r="7">
      <c r="A7" s="4">
        <v>45377.0</v>
      </c>
      <c r="B7" s="3">
        <v>24.0</v>
      </c>
    </row>
    <row r="8">
      <c r="A8" s="4">
        <v>45378.0</v>
      </c>
      <c r="B8" s="3">
        <v>24.0</v>
      </c>
    </row>
    <row r="9">
      <c r="A9" s="4">
        <v>45379.0</v>
      </c>
      <c r="B9" s="3">
        <v>24.0</v>
      </c>
    </row>
    <row r="10">
      <c r="A10" s="4">
        <v>45380.0</v>
      </c>
      <c r="B10" s="3">
        <v>24.0</v>
      </c>
    </row>
    <row r="11">
      <c r="A11" s="4">
        <v>45381.0</v>
      </c>
      <c r="B11" s="3">
        <v>29.0</v>
      </c>
    </row>
    <row r="12">
      <c r="A12" s="4">
        <v>45382.0</v>
      </c>
      <c r="B12" s="3">
        <v>33.0</v>
      </c>
    </row>
    <row r="13">
      <c r="A13" s="4">
        <v>45383.0</v>
      </c>
      <c r="B13" s="3">
        <v>45.0</v>
      </c>
    </row>
    <row r="14">
      <c r="A14" s="4">
        <v>45384.0</v>
      </c>
      <c r="B14" s="3">
        <v>54.0</v>
      </c>
    </row>
    <row r="15">
      <c r="A15" s="4">
        <v>45385.0</v>
      </c>
      <c r="B15" s="3">
        <v>61.0</v>
      </c>
    </row>
    <row r="16">
      <c r="A16" s="4">
        <v>45386.0</v>
      </c>
      <c r="B16" s="3">
        <v>65.0</v>
      </c>
    </row>
    <row r="17">
      <c r="A17" s="4">
        <v>45387.0</v>
      </c>
      <c r="B17" s="3">
        <v>66.0</v>
      </c>
    </row>
    <row r="18">
      <c r="A18" s="4">
        <v>45388.0</v>
      </c>
      <c r="B18" s="3">
        <v>74.0</v>
      </c>
    </row>
    <row r="19">
      <c r="A19" s="4">
        <v>45389.0</v>
      </c>
      <c r="B19" s="3">
        <v>81.0</v>
      </c>
    </row>
    <row r="20">
      <c r="A20" s="4">
        <v>45390.0</v>
      </c>
      <c r="B20" s="3">
        <v>84.0</v>
      </c>
    </row>
    <row r="21">
      <c r="A21" s="4">
        <v>45391.0</v>
      </c>
      <c r="B21" s="3">
        <v>92.0</v>
      </c>
    </row>
    <row r="22">
      <c r="A22" s="4">
        <v>45392.0</v>
      </c>
      <c r="B22" s="3">
        <v>101.0</v>
      </c>
    </row>
    <row r="23">
      <c r="A23" s="4">
        <v>45393.0</v>
      </c>
      <c r="B23" s="3">
        <v>104.0</v>
      </c>
    </row>
    <row r="24">
      <c r="A24" s="4">
        <v>45394.0</v>
      </c>
      <c r="B24" s="3">
        <v>116.0</v>
      </c>
    </row>
    <row r="25">
      <c r="A25" s="4">
        <v>45395.0</v>
      </c>
      <c r="B25" s="3">
        <v>122.0</v>
      </c>
    </row>
    <row r="26">
      <c r="A26" s="4">
        <v>45396.0</v>
      </c>
      <c r="B26" s="3">
        <v>129.0</v>
      </c>
    </row>
    <row r="27">
      <c r="A27" s="4">
        <v>45397.0</v>
      </c>
      <c r="B27" s="3">
        <v>132.0</v>
      </c>
    </row>
    <row r="28">
      <c r="A28" s="4">
        <v>45398.0</v>
      </c>
      <c r="B28" s="3">
        <v>137.0</v>
      </c>
    </row>
    <row r="29">
      <c r="A29" s="4">
        <v>45399.0</v>
      </c>
      <c r="B29" s="3">
        <v>163.0</v>
      </c>
    </row>
    <row r="30">
      <c r="A30" s="4">
        <v>45400.0</v>
      </c>
      <c r="B30" s="3">
        <v>175.0</v>
      </c>
    </row>
    <row r="31">
      <c r="A31" s="4">
        <v>45401.0</v>
      </c>
      <c r="B31" s="3">
        <v>202.0</v>
      </c>
      <c r="C31" s="3">
        <v>202.0</v>
      </c>
    </row>
    <row r="32">
      <c r="A32" s="4">
        <v>45402.0</v>
      </c>
      <c r="B32" s="3">
        <v>219.0</v>
      </c>
    </row>
    <row r="33">
      <c r="A33" s="4">
        <v>45404.0</v>
      </c>
      <c r="B33" s="3">
        <v>270.0</v>
      </c>
    </row>
    <row r="34">
      <c r="A34" s="4">
        <v>45405.0</v>
      </c>
      <c r="B34" s="3">
        <v>319.0</v>
      </c>
    </row>
    <row r="35">
      <c r="A35" s="4">
        <v>45406.0</v>
      </c>
      <c r="B35" s="3">
        <v>342.0</v>
      </c>
    </row>
    <row r="36">
      <c r="A36" s="4">
        <v>45407.0</v>
      </c>
      <c r="B36" s="3">
        <v>364.0</v>
      </c>
    </row>
    <row r="37">
      <c r="A37" s="4">
        <v>45408.0</v>
      </c>
      <c r="B37" s="3">
        <v>379.0</v>
      </c>
      <c r="C37" s="3">
        <v>379.0</v>
      </c>
    </row>
    <row r="38">
      <c r="A38" s="4">
        <v>45409.0</v>
      </c>
      <c r="B38" s="3">
        <v>393.0</v>
      </c>
    </row>
    <row r="39">
      <c r="A39" s="4">
        <v>45410.0</v>
      </c>
      <c r="B39" s="3">
        <v>435.0</v>
      </c>
    </row>
    <row r="40">
      <c r="A40" s="4">
        <v>45411.0</v>
      </c>
      <c r="B40" s="3">
        <v>458.0</v>
      </c>
    </row>
    <row r="41">
      <c r="A41" s="4">
        <v>45412.0</v>
      </c>
      <c r="B41" s="3">
        <v>489.0</v>
      </c>
    </row>
    <row r="42">
      <c r="A42" s="4">
        <v>45413.0</v>
      </c>
      <c r="B42" s="3">
        <v>512.0</v>
      </c>
    </row>
    <row r="43">
      <c r="A43" s="4">
        <v>45414.0</v>
      </c>
      <c r="B43" s="3">
        <v>583.0</v>
      </c>
    </row>
    <row r="44">
      <c r="A44" s="4">
        <v>45415.0</v>
      </c>
      <c r="B44" s="3">
        <v>610.0</v>
      </c>
      <c r="C44" s="3">
        <v>611.0</v>
      </c>
    </row>
    <row r="45">
      <c r="A45" s="4">
        <v>45416.0</v>
      </c>
      <c r="B45" s="3">
        <v>618.0</v>
      </c>
    </row>
    <row r="46">
      <c r="A46" s="4">
        <v>45417.0</v>
      </c>
      <c r="B46" s="3">
        <v>624.0</v>
      </c>
    </row>
    <row r="47">
      <c r="A47" s="4">
        <v>45418.0</v>
      </c>
      <c r="B47" s="3">
        <v>630.0</v>
      </c>
    </row>
    <row r="48">
      <c r="A48" s="4">
        <v>45419.0</v>
      </c>
      <c r="B48" s="3">
        <v>646.0</v>
      </c>
    </row>
    <row r="49">
      <c r="A49" s="4">
        <v>45420.0</v>
      </c>
      <c r="B49" s="3">
        <v>653.0</v>
      </c>
    </row>
    <row r="50">
      <c r="A50" s="4">
        <v>45421.0</v>
      </c>
      <c r="B50" s="3">
        <v>657.0</v>
      </c>
    </row>
    <row r="51">
      <c r="A51" s="4">
        <v>45422.0</v>
      </c>
      <c r="B51" s="3">
        <v>665.0</v>
      </c>
      <c r="C51" s="3">
        <v>665.0</v>
      </c>
    </row>
    <row r="52">
      <c r="A52" s="4">
        <v>45423.0</v>
      </c>
      <c r="B52" s="3">
        <v>676.0</v>
      </c>
    </row>
    <row r="53">
      <c r="A53" s="4">
        <v>45424.0</v>
      </c>
      <c r="B53" s="3">
        <v>689.0</v>
      </c>
    </row>
    <row r="54">
      <c r="A54" s="4">
        <v>45425.0</v>
      </c>
      <c r="B54" s="3">
        <v>689.0</v>
      </c>
    </row>
    <row r="55">
      <c r="A55" s="4">
        <v>45426.0</v>
      </c>
      <c r="B55" s="10" t="s">
        <v>8</v>
      </c>
    </row>
    <row r="56">
      <c r="A56" s="4">
        <v>45427.0</v>
      </c>
      <c r="B56" s="3">
        <v>699.0</v>
      </c>
    </row>
    <row r="57">
      <c r="A57" s="4">
        <v>45428.0</v>
      </c>
      <c r="B57" s="3">
        <v>710.0</v>
      </c>
    </row>
    <row r="58">
      <c r="A58" s="4">
        <v>45429.0</v>
      </c>
      <c r="B58" s="3">
        <v>718.0</v>
      </c>
      <c r="C58" s="3">
        <v>718.0</v>
      </c>
    </row>
    <row r="59">
      <c r="A59" s="4">
        <v>45430.0</v>
      </c>
      <c r="B59" s="3">
        <v>727.0</v>
      </c>
    </row>
    <row r="60">
      <c r="A60" s="4">
        <v>45431.0</v>
      </c>
      <c r="B60" s="3">
        <v>731.0</v>
      </c>
    </row>
    <row r="61">
      <c r="A61" s="4">
        <v>45432.0</v>
      </c>
      <c r="B61" s="3">
        <v>738.0</v>
      </c>
    </row>
    <row r="62">
      <c r="A62" s="4">
        <v>45433.0</v>
      </c>
      <c r="B62" s="3">
        <v>747.0</v>
      </c>
    </row>
    <row r="63">
      <c r="A63" s="4">
        <v>45434.0</v>
      </c>
      <c r="B63" s="12">
        <v>750.0</v>
      </c>
    </row>
    <row r="64">
      <c r="A64" s="4">
        <v>45435.0</v>
      </c>
      <c r="B64" s="3">
        <v>763.0</v>
      </c>
    </row>
    <row r="65">
      <c r="A65" s="4">
        <v>45436.0</v>
      </c>
      <c r="B65" s="3">
        <v>769.0</v>
      </c>
      <c r="C65" s="3">
        <v>769.0</v>
      </c>
    </row>
    <row r="66">
      <c r="A66" s="4">
        <v>45437.0</v>
      </c>
      <c r="B66" s="3">
        <v>776.0</v>
      </c>
    </row>
    <row r="67">
      <c r="A67" s="4">
        <v>45438.0</v>
      </c>
      <c r="B67" s="3">
        <v>783.0</v>
      </c>
    </row>
    <row r="68">
      <c r="A68" s="4">
        <v>45439.0</v>
      </c>
      <c r="B68" s="3">
        <v>788.0</v>
      </c>
    </row>
    <row r="69">
      <c r="A69" s="4">
        <v>45440.0</v>
      </c>
      <c r="B69" s="3">
        <v>811.0</v>
      </c>
    </row>
    <row r="70">
      <c r="A70" s="4">
        <v>45441.0</v>
      </c>
      <c r="B70" s="3">
        <v>822.0</v>
      </c>
    </row>
    <row r="71">
      <c r="A71" s="4">
        <v>45442.0</v>
      </c>
      <c r="B71" s="3">
        <v>836.0</v>
      </c>
    </row>
    <row r="72">
      <c r="A72" s="4">
        <v>45443.0</v>
      </c>
      <c r="B72" s="3">
        <v>836.0</v>
      </c>
      <c r="C72" s="3">
        <v>836.0</v>
      </c>
    </row>
    <row r="73">
      <c r="A73" s="4">
        <v>45444.0</v>
      </c>
      <c r="B73" s="12">
        <v>875.0</v>
      </c>
    </row>
    <row r="74">
      <c r="A74" s="4">
        <v>45445.0</v>
      </c>
      <c r="B74" s="3">
        <v>890.0</v>
      </c>
    </row>
    <row r="75">
      <c r="A75" s="4">
        <v>45446.0</v>
      </c>
      <c r="B75" s="12">
        <v>892.0</v>
      </c>
    </row>
    <row r="76">
      <c r="A76" s="4">
        <v>45447.0</v>
      </c>
      <c r="B76" s="3">
        <v>901.0</v>
      </c>
    </row>
    <row r="77">
      <c r="A77" s="4">
        <v>45448.0</v>
      </c>
      <c r="B77" s="3">
        <v>912.0</v>
      </c>
    </row>
    <row r="78">
      <c r="A78" s="4">
        <v>45449.0</v>
      </c>
      <c r="B78" s="3">
        <v>921.0</v>
      </c>
    </row>
    <row r="79">
      <c r="A79" s="4">
        <v>45450.0</v>
      </c>
      <c r="B79" s="12">
        <v>923.0</v>
      </c>
      <c r="C79" s="3">
        <v>923.0</v>
      </c>
    </row>
    <row r="80">
      <c r="A80" s="4">
        <v>45451.0</v>
      </c>
      <c r="B80" s="12">
        <v>943.0</v>
      </c>
    </row>
    <row r="81">
      <c r="A81" s="4">
        <v>45452.0</v>
      </c>
      <c r="B81" s="12">
        <v>952.0</v>
      </c>
    </row>
    <row r="82">
      <c r="A82" s="4">
        <v>45453.0</v>
      </c>
      <c r="B82" s="3">
        <v>955.0</v>
      </c>
    </row>
    <row r="83">
      <c r="A83" s="4">
        <v>45454.0</v>
      </c>
      <c r="B83" s="3">
        <v>962.0</v>
      </c>
    </row>
    <row r="84">
      <c r="A84" s="4">
        <v>45455.0</v>
      </c>
      <c r="B84" s="3">
        <v>966.0</v>
      </c>
    </row>
    <row r="85">
      <c r="A85" s="4">
        <v>45456.0</v>
      </c>
      <c r="B85" s="3">
        <v>970.0</v>
      </c>
    </row>
    <row r="86">
      <c r="A86" s="4">
        <v>45457.0</v>
      </c>
      <c r="B86" s="3">
        <v>974.0</v>
      </c>
      <c r="C86" s="3">
        <v>974.0</v>
      </c>
    </row>
    <row r="87">
      <c r="A87" s="4">
        <v>45458.0</v>
      </c>
      <c r="B87" s="3">
        <v>992.0</v>
      </c>
    </row>
    <row r="88">
      <c r="A88" s="4">
        <v>45459.0</v>
      </c>
      <c r="B88" s="3">
        <v>1004.0</v>
      </c>
    </row>
    <row r="89">
      <c r="A89" s="4">
        <v>45460.0</v>
      </c>
      <c r="B89" s="3">
        <v>1026.0</v>
      </c>
    </row>
    <row r="90">
      <c r="A90" s="4">
        <v>45461.0</v>
      </c>
      <c r="B90" s="3">
        <v>1048.0</v>
      </c>
    </row>
    <row r="91">
      <c r="B91" s="16" t="s">
        <v>15</v>
      </c>
    </row>
    <row r="92">
      <c r="B92" s="18" t="s">
        <v>19</v>
      </c>
    </row>
    <row r="93">
      <c r="A93" s="4">
        <v>45464.0</v>
      </c>
      <c r="C93" s="3">
        <v>1091.0</v>
      </c>
    </row>
    <row r="94">
      <c r="A94" s="4">
        <v>45471.0</v>
      </c>
      <c r="C94" s="3">
        <v>1243.0</v>
      </c>
    </row>
    <row r="95">
      <c r="A95" s="4">
        <v>45478.0</v>
      </c>
      <c r="C95" s="3">
        <v>1311.0</v>
      </c>
    </row>
    <row r="96">
      <c r="A96" s="4">
        <v>45485.0</v>
      </c>
      <c r="C96" s="3">
        <v>1411.0</v>
      </c>
    </row>
    <row r="97">
      <c r="A97" s="4">
        <v>45492.0</v>
      </c>
      <c r="C97" s="3">
        <v>1476.0</v>
      </c>
    </row>
    <row r="98">
      <c r="A98" s="4">
        <v>45499.0</v>
      </c>
      <c r="C98" s="9">
        <v>1674.0</v>
      </c>
    </row>
    <row r="99">
      <c r="A99" s="4">
        <v>45506.0</v>
      </c>
      <c r="C99" s="3">
        <v>1803.0</v>
      </c>
    </row>
    <row r="100">
      <c r="A100" s="4">
        <v>45513.0</v>
      </c>
      <c r="C100" s="3">
        <v>1893.0</v>
      </c>
    </row>
    <row r="101">
      <c r="A101" s="4">
        <v>45520.0</v>
      </c>
      <c r="C101" s="3">
        <v>1961.0</v>
      </c>
    </row>
    <row r="102">
      <c r="A102" s="4">
        <v>45527.0</v>
      </c>
      <c r="C102" s="9">
        <v>2067.0</v>
      </c>
    </row>
    <row r="103">
      <c r="A103" s="4">
        <v>45534.0</v>
      </c>
      <c r="C103" s="3">
        <v>2134.0</v>
      </c>
    </row>
    <row r="104">
      <c r="A104" s="4">
        <v>45541.0</v>
      </c>
      <c r="C104" s="9">
        <v>2152.0</v>
      </c>
    </row>
    <row r="105">
      <c r="A105" s="4">
        <v>45548.0</v>
      </c>
      <c r="C105" s="3">
        <v>2228.0</v>
      </c>
    </row>
    <row r="106">
      <c r="A106" s="4">
        <v>45555.0</v>
      </c>
      <c r="C106" s="3">
        <v>2323.0</v>
      </c>
    </row>
    <row r="107">
      <c r="A107" s="4">
        <v>45562.0</v>
      </c>
      <c r="C107" s="9">
        <v>2475.0</v>
      </c>
    </row>
    <row r="108">
      <c r="A108" s="4">
        <v>45569.0</v>
      </c>
      <c r="C108" s="3">
        <v>2565.0</v>
      </c>
    </row>
    <row r="109">
      <c r="A109" s="4">
        <v>45576.0</v>
      </c>
      <c r="C109" s="3">
        <v>2668.0</v>
      </c>
    </row>
    <row r="110">
      <c r="A110" s="4">
        <v>45583.0</v>
      </c>
      <c r="C110" s="3">
        <v>2710.0</v>
      </c>
    </row>
    <row r="111">
      <c r="A111" s="4">
        <v>45590.0</v>
      </c>
      <c r="C111" s="3">
        <v>2824.0</v>
      </c>
    </row>
    <row r="112">
      <c r="A112" s="4">
        <v>45597.0</v>
      </c>
      <c r="C112" s="3">
        <v>2919.0</v>
      </c>
    </row>
    <row r="113">
      <c r="A113" s="4">
        <v>45604.0</v>
      </c>
      <c r="C113" s="3">
        <v>3057.0</v>
      </c>
    </row>
    <row r="114">
      <c r="A114" s="4">
        <v>45611.0</v>
      </c>
      <c r="C114" s="3">
        <v>3233.0</v>
      </c>
    </row>
    <row r="115">
      <c r="A115" s="4">
        <v>45618.0</v>
      </c>
      <c r="C115" s="3">
        <v>3447.0</v>
      </c>
    </row>
    <row r="116">
      <c r="A116" s="4">
        <v>45625.0</v>
      </c>
      <c r="C116" s="3">
        <v>3681.0</v>
      </c>
    </row>
    <row r="117">
      <c r="A117" s="4">
        <v>45632.0</v>
      </c>
      <c r="C117" s="10" t="s">
        <v>25</v>
      </c>
    </row>
    <row r="118">
      <c r="A118" s="4">
        <v>45639.0</v>
      </c>
      <c r="C118" s="3">
        <v>4104.0</v>
      </c>
    </row>
    <row r="119">
      <c r="A119" s="4">
        <v>45646.0</v>
      </c>
      <c r="C119" s="3">
        <v>4270.0</v>
      </c>
    </row>
    <row r="120">
      <c r="A120" s="4">
        <v>45660.0</v>
      </c>
      <c r="C120" s="3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3" t="s">
        <v>6</v>
      </c>
      <c r="B2" s="3"/>
      <c r="C2" s="3">
        <v>10000.0</v>
      </c>
      <c r="D2" s="3">
        <v>10500.0</v>
      </c>
      <c r="E2" s="3">
        <v>11000.0</v>
      </c>
      <c r="F2" s="3">
        <v>11000.0</v>
      </c>
      <c r="G2" s="3">
        <v>11000.0</v>
      </c>
      <c r="H2" s="3">
        <v>11500.0</v>
      </c>
      <c r="I2" s="3">
        <v>11500.0</v>
      </c>
      <c r="J2" s="3">
        <v>12000.0</v>
      </c>
      <c r="K2" s="3">
        <v>12000.0</v>
      </c>
      <c r="L2" s="3">
        <v>13000.0</v>
      </c>
      <c r="M2" s="3">
        <v>13000.0</v>
      </c>
      <c r="N2" s="3">
        <v>13500.0</v>
      </c>
      <c r="O2" s="3">
        <v>13500.0</v>
      </c>
      <c r="P2" s="3">
        <v>14000.0</v>
      </c>
      <c r="Q2" s="3">
        <v>14500.0</v>
      </c>
      <c r="R2" s="3">
        <v>15500.0</v>
      </c>
      <c r="S2" s="3">
        <v>18000.0</v>
      </c>
      <c r="T2" s="3">
        <v>18500.0</v>
      </c>
      <c r="U2" s="3">
        <v>18500.0</v>
      </c>
      <c r="V2" s="3">
        <v>19500.0</v>
      </c>
      <c r="W2" s="3">
        <v>20221.0</v>
      </c>
      <c r="X2" s="3">
        <v>20754.0</v>
      </c>
      <c r="Y2" s="3">
        <v>23000.0</v>
      </c>
      <c r="Z2" s="3">
        <v>23000.0</v>
      </c>
      <c r="AA2" s="3">
        <v>23387.0</v>
      </c>
      <c r="AB2" s="3">
        <v>24012.0</v>
      </c>
      <c r="AC2" s="3">
        <v>25800.0</v>
      </c>
      <c r="AD2" s="3">
        <v>26492.0</v>
      </c>
      <c r="AE2" s="3">
        <v>28261.0</v>
      </c>
      <c r="AF2" s="3">
        <v>29657.0</v>
      </c>
      <c r="AG2" s="3">
        <v>34562.0</v>
      </c>
      <c r="AH2" s="3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13" t="s">
        <v>9</v>
      </c>
      <c r="CC2" s="13">
        <v>51644.0</v>
      </c>
      <c r="CD2" s="13">
        <v>51649.0</v>
      </c>
      <c r="CE2" s="13">
        <v>51779.0</v>
      </c>
    </row>
    <row r="3">
      <c r="A3" s="3" t="s">
        <v>11</v>
      </c>
      <c r="D3" s="14"/>
      <c r="F3" s="3">
        <v>2542.0</v>
      </c>
      <c r="G3" s="3">
        <v>3246.0</v>
      </c>
      <c r="H3" s="3">
        <v>3465.0</v>
      </c>
      <c r="I3" s="3">
        <v>3670.0</v>
      </c>
      <c r="J3" s="3">
        <v>3840.0</v>
      </c>
      <c r="K3" s="3">
        <v>3995.0</v>
      </c>
      <c r="L3" s="3">
        <v>4124.0</v>
      </c>
      <c r="M3" s="3">
        <v>4225.0</v>
      </c>
      <c r="N3" s="3">
        <v>4499.0</v>
      </c>
      <c r="O3" s="3">
        <v>4840.0</v>
      </c>
      <c r="P3" s="3">
        <v>5119.0</v>
      </c>
      <c r="Q3" s="3">
        <v>5322.0</v>
      </c>
      <c r="R3" s="3">
        <v>5498.0</v>
      </c>
      <c r="S3" s="3">
        <v>5498.0</v>
      </c>
      <c r="T3" s="3">
        <v>6041.0</v>
      </c>
      <c r="U3" s="3">
        <v>6523.0</v>
      </c>
      <c r="V3" s="3">
        <v>6523.0</v>
      </c>
      <c r="W3" s="3">
        <v>7553.0</v>
      </c>
      <c r="X3" s="3">
        <v>7959.0</v>
      </c>
      <c r="Y3" s="3">
        <v>8280.0</v>
      </c>
      <c r="Z3" s="3">
        <v>8908.0</v>
      </c>
      <c r="AA3" s="3">
        <v>8908.0</v>
      </c>
      <c r="AB3" s="3">
        <v>10302.0</v>
      </c>
      <c r="AC3" s="3">
        <v>11069.0</v>
      </c>
      <c r="AD3" s="3">
        <v>11893.0</v>
      </c>
      <c r="AE3" s="3">
        <v>12799.0</v>
      </c>
      <c r="AF3" s="3">
        <v>13809.0</v>
      </c>
      <c r="AG3" s="3">
        <v>14579.0</v>
      </c>
      <c r="AH3" s="3">
        <v>15365.0</v>
      </c>
      <c r="AI3" s="3">
        <v>16216.0</v>
      </c>
      <c r="AJ3" s="3">
        <v>17264.0</v>
      </c>
      <c r="AK3" s="8">
        <v>18070.0</v>
      </c>
      <c r="AL3" s="3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13" t="s">
        <v>14</v>
      </c>
      <c r="CC3" s="13" t="s">
        <v>14</v>
      </c>
      <c r="CD3" s="13">
        <v>39745.0</v>
      </c>
      <c r="CE3" s="13">
        <v>40670.0</v>
      </c>
    </row>
    <row r="4">
      <c r="D4" s="14"/>
    </row>
    <row r="5">
      <c r="A5" s="3" t="s">
        <v>16</v>
      </c>
      <c r="D5" s="14"/>
    </row>
    <row r="6">
      <c r="A6" s="3" t="s">
        <v>17</v>
      </c>
      <c r="B6" s="3">
        <v>3643.0</v>
      </c>
      <c r="C6" s="3">
        <v>3643.0</v>
      </c>
      <c r="D6" s="3">
        <v>3817.0</v>
      </c>
      <c r="E6" s="3">
        <v>3868.0</v>
      </c>
      <c r="F6" s="3">
        <v>3956.0</v>
      </c>
      <c r="G6" s="3">
        <v>4047.0</v>
      </c>
      <c r="H6" s="3">
        <v>4251.0</v>
      </c>
      <c r="I6" s="3">
        <v>4329.0</v>
      </c>
      <c r="J6" s="3">
        <v>4416.0</v>
      </c>
      <c r="K6" s="3">
        <v>4556.0</v>
      </c>
      <c r="L6" s="3">
        <v>4576.0</v>
      </c>
      <c r="M6" s="3">
        <v>4627.0</v>
      </c>
      <c r="N6" s="3">
        <v>4661.0</v>
      </c>
      <c r="O6" s="3">
        <v>4706.0</v>
      </c>
      <c r="P6" s="3">
        <v>4717.0</v>
      </c>
      <c r="Q6" s="3">
        <v>4820.0</v>
      </c>
      <c r="R6" s="3">
        <v>4939.0</v>
      </c>
      <c r="S6" s="3">
        <v>5086.0</v>
      </c>
      <c r="T6" s="3">
        <v>5096.0</v>
      </c>
      <c r="U6" s="3">
        <v>5282.0</v>
      </c>
      <c r="V6" s="3">
        <v>5536.0</v>
      </c>
      <c r="W6" s="3">
        <v>5586.0</v>
      </c>
      <c r="X6" s="3">
        <v>5698.0</v>
      </c>
      <c r="Y6" s="3">
        <v>5707.0</v>
      </c>
      <c r="Z6" s="3">
        <v>5888.0</v>
      </c>
      <c r="AB6" s="3">
        <v>6801.0</v>
      </c>
      <c r="AC6" s="3">
        <v>6801.0</v>
      </c>
      <c r="AD6" s="3">
        <v>6986.0</v>
      </c>
      <c r="AE6" s="3">
        <v>7105.0</v>
      </c>
      <c r="AF6" s="3">
        <v>7138.0</v>
      </c>
      <c r="AG6" s="3">
        <v>7155.0</v>
      </c>
      <c r="AH6" s="3">
        <v>7159.0</v>
      </c>
      <c r="AI6" s="3">
        <v>7160.0</v>
      </c>
      <c r="AJ6" s="3">
        <v>7170.0</v>
      </c>
      <c r="AK6" s="8">
        <v>7175.0</v>
      </c>
      <c r="AL6" s="3">
        <v>7178.0</v>
      </c>
      <c r="AM6" s="3">
        <v>7182.0</v>
      </c>
      <c r="AN6" s="8">
        <v>7182.0</v>
      </c>
      <c r="AO6" s="3">
        <v>7183.0</v>
      </c>
      <c r="AP6" s="3">
        <v>7199.0</v>
      </c>
      <c r="AQ6" s="3">
        <v>7202.0</v>
      </c>
      <c r="AR6" s="3">
        <v>7206.0</v>
      </c>
      <c r="AS6" s="3">
        <v>7206.0</v>
      </c>
      <c r="AT6" s="3">
        <v>7208.0</v>
      </c>
      <c r="AU6" s="3">
        <v>7208.0</v>
      </c>
      <c r="AV6" s="3">
        <v>7211.0</v>
      </c>
      <c r="AW6" s="3">
        <v>7212.0</v>
      </c>
      <c r="AX6" s="3">
        <v>7213.0</v>
      </c>
      <c r="AY6" s="3">
        <v>7217.0</v>
      </c>
      <c r="AZ6" s="3">
        <v>7217.0</v>
      </c>
      <c r="BA6" s="3">
        <v>7217.0</v>
      </c>
      <c r="BB6" s="3">
        <v>7217.0</v>
      </c>
      <c r="BC6" s="3">
        <v>7218.0</v>
      </c>
      <c r="BD6" s="3">
        <v>7218.0</v>
      </c>
      <c r="BE6" s="3">
        <v>7220.0</v>
      </c>
      <c r="BF6" s="3">
        <v>7220.0</v>
      </c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</row>
    <row r="7">
      <c r="D7" s="14"/>
    </row>
    <row r="8">
      <c r="D8" s="14"/>
    </row>
    <row r="9">
      <c r="D9" s="14"/>
    </row>
    <row r="10">
      <c r="D10" s="14"/>
    </row>
    <row r="11">
      <c r="D11" s="14"/>
    </row>
    <row r="12">
      <c r="D12" s="14"/>
    </row>
    <row r="13">
      <c r="D13" s="14"/>
    </row>
    <row r="14">
      <c r="D14" s="14"/>
    </row>
    <row r="15">
      <c r="D15" s="14"/>
    </row>
    <row r="16">
      <c r="D16" s="14"/>
    </row>
    <row r="17">
      <c r="D17" s="14"/>
    </row>
    <row r="18">
      <c r="D18" s="14"/>
    </row>
    <row r="19">
      <c r="D19" s="14"/>
    </row>
    <row r="20">
      <c r="D20" s="14"/>
    </row>
    <row r="21">
      <c r="D21" s="14"/>
    </row>
    <row r="22">
      <c r="D22" s="14"/>
    </row>
    <row r="23">
      <c r="D23" s="14"/>
    </row>
    <row r="24">
      <c r="D24" s="14"/>
    </row>
    <row r="25">
      <c r="D25" s="14"/>
    </row>
    <row r="26">
      <c r="D26" s="14"/>
    </row>
    <row r="27">
      <c r="D27" s="14"/>
    </row>
    <row r="28">
      <c r="D28" s="14"/>
    </row>
    <row r="29">
      <c r="D29" s="14"/>
    </row>
    <row r="30">
      <c r="D30" s="14"/>
    </row>
    <row r="31">
      <c r="D31" s="14"/>
    </row>
    <row r="32">
      <c r="D32" s="14"/>
    </row>
    <row r="33">
      <c r="D33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3" t="s">
        <v>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</row>
    <row r="3">
      <c r="A3" s="3" t="s">
        <v>7</v>
      </c>
      <c r="O3" s="3">
        <v>11.0</v>
      </c>
      <c r="P3" s="3">
        <v>13.0</v>
      </c>
      <c r="Q3" s="3">
        <v>17.0</v>
      </c>
      <c r="R3" s="3">
        <v>32.0</v>
      </c>
      <c r="S3" s="3">
        <v>53.0</v>
      </c>
      <c r="T3" s="3">
        <v>39.0</v>
      </c>
      <c r="U3" s="3">
        <v>28.0</v>
      </c>
      <c r="V3" s="3">
        <v>16.0</v>
      </c>
      <c r="W3" s="3">
        <v>15.0</v>
      </c>
      <c r="X3" s="3">
        <v>15.0</v>
      </c>
      <c r="Y3" s="3">
        <v>18.0</v>
      </c>
      <c r="Z3" s="3">
        <v>25.0</v>
      </c>
      <c r="AA3" s="3">
        <v>25.0</v>
      </c>
      <c r="AB3" s="3">
        <v>30.0</v>
      </c>
      <c r="AC3" s="3">
        <v>26.0</v>
      </c>
      <c r="AD3" s="3">
        <v>18.0</v>
      </c>
      <c r="AE3" s="3">
        <v>5.0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0.0</v>
      </c>
      <c r="AY3" s="3">
        <v>0.0</v>
      </c>
      <c r="AZ3" s="3">
        <v>0.0</v>
      </c>
      <c r="BA3" s="3">
        <v>0.0</v>
      </c>
      <c r="BB3" s="3">
        <v>0.0</v>
      </c>
      <c r="BC3" s="3">
        <v>0.0</v>
      </c>
      <c r="BD3" s="3">
        <v>0.0</v>
      </c>
      <c r="BE3" s="3">
        <v>0.0</v>
      </c>
      <c r="BF3" s="3">
        <v>0.0</v>
      </c>
      <c r="BG3" s="3">
        <v>0.0</v>
      </c>
      <c r="BH3" s="3">
        <v>0.0</v>
      </c>
      <c r="BI3" s="3">
        <v>0.0</v>
      </c>
      <c r="BJ3" s="3">
        <v>0.0</v>
      </c>
      <c r="BK3" s="3">
        <v>0.0</v>
      </c>
      <c r="BL3" s="3">
        <v>0.0</v>
      </c>
      <c r="BM3" s="3">
        <v>0.0</v>
      </c>
      <c r="BN3" s="3">
        <v>0.0</v>
      </c>
      <c r="BO3" s="3">
        <v>0.0</v>
      </c>
      <c r="BP3" s="3">
        <v>0.0</v>
      </c>
      <c r="BQ3" s="3">
        <v>0.0</v>
      </c>
      <c r="BR3" s="3">
        <v>0.0</v>
      </c>
      <c r="BS3" s="3">
        <v>0.0</v>
      </c>
      <c r="BT3" s="10">
        <v>0.0</v>
      </c>
      <c r="BU3" s="10">
        <v>0.0</v>
      </c>
      <c r="BV3" s="10">
        <v>0.0</v>
      </c>
      <c r="BW3" s="10">
        <v>0.0</v>
      </c>
      <c r="BX3" s="10">
        <v>0.0</v>
      </c>
      <c r="BY3" s="10">
        <v>0.0</v>
      </c>
      <c r="BZ3" s="10">
        <v>0.0</v>
      </c>
      <c r="CA3" s="10">
        <v>0.0</v>
      </c>
      <c r="CB3" s="10">
        <v>0.0</v>
      </c>
      <c r="CC3" s="10">
        <v>0.0</v>
      </c>
      <c r="CD3" s="10">
        <v>0.0</v>
      </c>
      <c r="CE3" s="10">
        <v>0.0</v>
      </c>
    </row>
    <row r="4">
      <c r="A4" s="3" t="s">
        <v>12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>
        <v>2.0</v>
      </c>
      <c r="AN4" s="3">
        <v>4.0</v>
      </c>
      <c r="AO4" s="3">
        <v>6.0</v>
      </c>
      <c r="AP4" s="3">
        <v>12.0</v>
      </c>
      <c r="AQ4" s="3">
        <v>9.0</v>
      </c>
      <c r="AR4" s="3">
        <v>10.0</v>
      </c>
      <c r="AS4" s="3">
        <v>13.0</v>
      </c>
      <c r="AT4" s="3">
        <v>13.0</v>
      </c>
      <c r="AU4" s="3">
        <v>9.0</v>
      </c>
      <c r="AV4" s="3">
        <v>12.0</v>
      </c>
      <c r="AW4" s="3">
        <v>7.0</v>
      </c>
      <c r="AX4" s="3">
        <v>5.0</v>
      </c>
      <c r="AY4" s="3">
        <v>7.0</v>
      </c>
      <c r="AZ4" s="3">
        <v>7.0</v>
      </c>
      <c r="BA4" s="3">
        <v>7.0</v>
      </c>
      <c r="BB4" s="3">
        <v>6.0</v>
      </c>
      <c r="BC4" s="3">
        <v>0.0</v>
      </c>
      <c r="BD4" s="3">
        <v>0.0</v>
      </c>
      <c r="BE4" s="3">
        <v>0.0</v>
      </c>
      <c r="BF4" s="3">
        <v>0.0</v>
      </c>
      <c r="BG4" s="3">
        <v>0.0</v>
      </c>
      <c r="BH4" s="3">
        <v>0.0</v>
      </c>
      <c r="BI4" s="3">
        <v>0.0</v>
      </c>
      <c r="BJ4" s="3">
        <v>0.0</v>
      </c>
      <c r="BK4" s="3">
        <v>0.0</v>
      </c>
      <c r="BL4" s="3">
        <v>0.0</v>
      </c>
      <c r="BM4" s="3">
        <v>0.0</v>
      </c>
      <c r="BN4" s="3">
        <v>0.0</v>
      </c>
      <c r="BO4" s="3">
        <v>0.0</v>
      </c>
      <c r="BP4" s="3">
        <v>0.0</v>
      </c>
      <c r="BQ4" s="3">
        <v>0.0</v>
      </c>
      <c r="BR4" s="3">
        <v>0.0</v>
      </c>
      <c r="BS4" s="3">
        <v>0.0</v>
      </c>
      <c r="BT4" s="3">
        <v>0.0</v>
      </c>
      <c r="BU4" s="3">
        <v>0.0</v>
      </c>
      <c r="BV4" s="3">
        <v>0.0</v>
      </c>
      <c r="BW4" s="3">
        <v>0.0</v>
      </c>
      <c r="BX4" s="3">
        <v>0.0</v>
      </c>
      <c r="BY4" s="3">
        <v>0.0</v>
      </c>
      <c r="BZ4" s="3">
        <v>0.0</v>
      </c>
      <c r="CA4" s="3">
        <v>0.0</v>
      </c>
      <c r="CB4" s="3">
        <v>0.0</v>
      </c>
      <c r="CC4" s="3">
        <v>0.0</v>
      </c>
      <c r="CD4" s="3">
        <v>0.0</v>
      </c>
      <c r="CE4" s="3">
        <v>0.0</v>
      </c>
    </row>
    <row r="5">
      <c r="A5" s="3"/>
      <c r="C5" s="15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</row>
    <row r="6">
      <c r="A6" s="3" t="s">
        <v>18</v>
      </c>
      <c r="C6" s="15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</row>
    <row r="7">
      <c r="A7" s="3" t="s">
        <v>20</v>
      </c>
      <c r="C7" s="15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>
        <v>86.0</v>
      </c>
      <c r="AV7" s="3">
        <v>177.0</v>
      </c>
      <c r="AW7" s="3">
        <v>232.0</v>
      </c>
      <c r="AX7" s="3">
        <v>55.0</v>
      </c>
      <c r="AY7" s="3">
        <v>64.0</v>
      </c>
      <c r="AZ7" s="3">
        <v>51.0</v>
      </c>
      <c r="BA7" s="3">
        <v>68.0</v>
      </c>
      <c r="BB7" s="3">
        <v>86.0</v>
      </c>
      <c r="BC7" s="3">
        <v>51.0</v>
      </c>
      <c r="BD7" s="3">
        <v>117.0</v>
      </c>
      <c r="BE7" s="3">
        <v>152.0</v>
      </c>
      <c r="BF7" s="3">
        <v>68.0</v>
      </c>
      <c r="BG7" s="3">
        <v>100.0</v>
      </c>
      <c r="BH7" s="3">
        <v>65.0</v>
      </c>
      <c r="BI7" s="3">
        <v>198.0</v>
      </c>
      <c r="BJ7" s="3">
        <v>129.0</v>
      </c>
      <c r="BK7" s="3">
        <v>87.0</v>
      </c>
      <c r="BL7" s="3">
        <v>67.0</v>
      </c>
      <c r="BM7" s="3">
        <v>106.0</v>
      </c>
      <c r="BN7" s="3">
        <v>67.0</v>
      </c>
      <c r="BO7" s="3">
        <v>18.0</v>
      </c>
      <c r="BP7" s="3">
        <v>67.0</v>
      </c>
      <c r="BQ7" s="3">
        <v>95.0</v>
      </c>
      <c r="BR7" s="3">
        <v>152.0</v>
      </c>
      <c r="BS7" s="3">
        <v>113.0</v>
      </c>
      <c r="BT7" s="3">
        <v>113.0</v>
      </c>
      <c r="BU7" s="3">
        <v>55.0</v>
      </c>
      <c r="BV7" s="3">
        <v>93.0</v>
      </c>
      <c r="BW7" s="3">
        <v>95.0</v>
      </c>
      <c r="BX7" s="3">
        <v>148.0</v>
      </c>
      <c r="BY7" s="3">
        <v>176.0</v>
      </c>
      <c r="BZ7" s="3">
        <v>214.0</v>
      </c>
      <c r="CA7" s="3">
        <v>138.0</v>
      </c>
      <c r="CB7" s="10" t="s">
        <v>23</v>
      </c>
      <c r="CC7" s="10" t="s">
        <v>23</v>
      </c>
      <c r="CD7" s="10">
        <v>166.0</v>
      </c>
      <c r="CE7" s="10">
        <v>267.0</v>
      </c>
    </row>
    <row r="8">
      <c r="A8" s="3" t="s">
        <v>24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>
        <v>70.0</v>
      </c>
      <c r="AV8" s="3">
        <v>108.0</v>
      </c>
      <c r="AW8" s="3">
        <v>83.0</v>
      </c>
      <c r="AX8" s="3">
        <v>33.0</v>
      </c>
      <c r="AY8" s="3">
        <v>36.0</v>
      </c>
      <c r="AZ8" s="3">
        <v>37.0</v>
      </c>
      <c r="BA8" s="3">
        <v>45.0</v>
      </c>
      <c r="BB8" s="3">
        <v>40.0</v>
      </c>
      <c r="BC8" s="3">
        <v>32.0</v>
      </c>
      <c r="BD8" s="3">
        <v>78.0</v>
      </c>
      <c r="BE8" s="3">
        <v>125.0</v>
      </c>
      <c r="BF8" s="3">
        <v>51.0</v>
      </c>
      <c r="BG8" s="3">
        <v>89.0</v>
      </c>
      <c r="BH8" s="3">
        <v>50.0</v>
      </c>
      <c r="BI8" s="3">
        <v>172.0</v>
      </c>
      <c r="BJ8" s="3">
        <v>115.0</v>
      </c>
      <c r="BK8" s="3">
        <v>76.0</v>
      </c>
      <c r="BL8" s="3">
        <v>55.0</v>
      </c>
      <c r="BM8" s="3">
        <v>87.0</v>
      </c>
      <c r="BN8" s="3">
        <v>54.0</v>
      </c>
      <c r="BO8" s="3">
        <v>14.0</v>
      </c>
      <c r="BP8" s="3">
        <v>76.0</v>
      </c>
      <c r="BQ8" s="3">
        <v>95.0</v>
      </c>
      <c r="BR8" s="3">
        <v>136.0</v>
      </c>
      <c r="BS8" s="3">
        <v>71.0</v>
      </c>
      <c r="BT8" s="3">
        <v>97.0</v>
      </c>
      <c r="BU8" s="3">
        <v>54.0</v>
      </c>
      <c r="BV8" s="3">
        <v>93.0</v>
      </c>
      <c r="BW8" s="3">
        <v>81.0</v>
      </c>
      <c r="BX8" s="3">
        <v>107.0</v>
      </c>
      <c r="BY8" s="3">
        <v>128.0</v>
      </c>
      <c r="BZ8" s="3">
        <v>126.0</v>
      </c>
      <c r="CA8" s="3">
        <v>126.0</v>
      </c>
      <c r="CB8" s="10" t="s">
        <v>26</v>
      </c>
      <c r="CC8" s="10" t="s">
        <v>26</v>
      </c>
      <c r="CD8" s="10">
        <v>135.0</v>
      </c>
      <c r="CE8" s="10" t="s">
        <v>27</v>
      </c>
    </row>
    <row r="9">
      <c r="A9" s="3" t="s">
        <v>28</v>
      </c>
      <c r="C9" s="15"/>
      <c r="F9" s="3">
        <v>331.0</v>
      </c>
      <c r="G9" s="3">
        <v>272.0</v>
      </c>
      <c r="H9" s="3">
        <v>319.0</v>
      </c>
      <c r="I9" s="3">
        <v>261.0</v>
      </c>
      <c r="J9" s="3">
        <v>278.0</v>
      </c>
      <c r="K9" s="3">
        <v>310.0</v>
      </c>
      <c r="L9" s="3">
        <v>540.0</v>
      </c>
      <c r="M9" s="3">
        <v>345.0</v>
      </c>
      <c r="N9" s="3">
        <v>482.0</v>
      </c>
      <c r="O9" s="3">
        <v>518.0</v>
      </c>
      <c r="P9" s="3">
        <v>602.0</v>
      </c>
      <c r="Q9" s="3">
        <v>826.0</v>
      </c>
      <c r="R9" s="3">
        <v>1532.0</v>
      </c>
      <c r="S9" s="3">
        <v>2910.0</v>
      </c>
      <c r="T9" s="3">
        <v>1739.0</v>
      </c>
      <c r="U9" s="3">
        <v>1180.0</v>
      </c>
      <c r="V9" s="3">
        <v>646.0</v>
      </c>
      <c r="W9" s="3">
        <v>744.0</v>
      </c>
      <c r="X9" s="3">
        <v>714.0</v>
      </c>
      <c r="Y9" s="3">
        <v>800.0</v>
      </c>
      <c r="Z9" s="3">
        <v>1006.0</v>
      </c>
      <c r="AA9" s="3">
        <v>1175.0</v>
      </c>
      <c r="AB9" s="3">
        <v>1634.0</v>
      </c>
      <c r="AC9" s="3">
        <v>1115.0</v>
      </c>
      <c r="AD9" s="3">
        <v>667.0</v>
      </c>
      <c r="AE9" s="3">
        <v>182.0</v>
      </c>
      <c r="AF9" s="3">
        <v>0.0</v>
      </c>
      <c r="AG9" s="3">
        <v>0.0</v>
      </c>
      <c r="AH9" s="3">
        <v>15.0</v>
      </c>
      <c r="AI9" s="3">
        <v>5.0</v>
      </c>
      <c r="AJ9" s="3">
        <v>2.0</v>
      </c>
      <c r="AK9" s="3">
        <v>0.0</v>
      </c>
      <c r="AL9" s="3">
        <v>0.0</v>
      </c>
      <c r="AM9" s="3">
        <v>64.0</v>
      </c>
      <c r="AN9" s="3">
        <v>149.0</v>
      </c>
      <c r="AO9" s="3">
        <v>253.0</v>
      </c>
      <c r="AP9" s="3">
        <v>529.0</v>
      </c>
      <c r="AQ9" s="3">
        <v>525.0</v>
      </c>
      <c r="AR9" s="3">
        <v>459.0</v>
      </c>
      <c r="AS9" s="3">
        <v>453.0</v>
      </c>
      <c r="AT9" s="3">
        <v>522.0</v>
      </c>
      <c r="AU9" s="3">
        <v>284.0</v>
      </c>
      <c r="AV9" s="3">
        <v>537.0</v>
      </c>
      <c r="AW9" s="3">
        <v>250.0</v>
      </c>
      <c r="AX9" s="3">
        <v>155.0</v>
      </c>
      <c r="AY9" s="3">
        <v>154.0</v>
      </c>
      <c r="AZ9" s="3">
        <v>272.0</v>
      </c>
      <c r="BA9" s="3">
        <v>262.0</v>
      </c>
      <c r="BB9" s="3">
        <v>232.0</v>
      </c>
      <c r="BC9" s="3">
        <v>0.0</v>
      </c>
      <c r="BD9" s="3">
        <v>0.0</v>
      </c>
      <c r="BE9" s="3">
        <v>0.0</v>
      </c>
      <c r="BF9" s="3">
        <v>0.0</v>
      </c>
      <c r="BG9" s="3">
        <v>0.0</v>
      </c>
      <c r="BH9" s="3">
        <v>0.0</v>
      </c>
      <c r="BI9" s="3">
        <v>0.0</v>
      </c>
      <c r="BJ9" s="3">
        <v>0.0</v>
      </c>
      <c r="BK9" s="3">
        <v>0.0</v>
      </c>
      <c r="BL9" s="3">
        <v>0.0</v>
      </c>
      <c r="BM9" s="3">
        <v>0.0</v>
      </c>
      <c r="BN9" s="3">
        <v>0.0</v>
      </c>
      <c r="BO9" s="3">
        <v>0.0</v>
      </c>
      <c r="BP9" s="3">
        <v>0.0</v>
      </c>
      <c r="BQ9" s="3">
        <v>0.0</v>
      </c>
      <c r="BR9" s="3">
        <v>0.0</v>
      </c>
      <c r="BS9" s="3">
        <v>0.0</v>
      </c>
      <c r="BT9" s="3">
        <v>0.0</v>
      </c>
      <c r="BU9" s="3">
        <v>0.0</v>
      </c>
      <c r="BV9" s="3">
        <v>0.0</v>
      </c>
      <c r="BW9" s="3">
        <v>0.0</v>
      </c>
      <c r="BX9" s="3">
        <v>0.0</v>
      </c>
      <c r="BY9" s="3">
        <v>0.0</v>
      </c>
      <c r="BZ9" s="3">
        <v>0.0</v>
      </c>
      <c r="CA9" s="3">
        <v>0.0</v>
      </c>
      <c r="CB9" s="3">
        <v>0.0</v>
      </c>
      <c r="CC9" s="3">
        <v>0.0</v>
      </c>
      <c r="CD9" s="3">
        <v>0.0</v>
      </c>
      <c r="CE9" s="3">
        <v>0.0</v>
      </c>
    </row>
    <row r="10">
      <c r="A10" s="3" t="s">
        <v>30</v>
      </c>
      <c r="C10" s="15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>
        <v>500.0</v>
      </c>
      <c r="AV10" s="3">
        <v>657.0</v>
      </c>
      <c r="AW10" s="3">
        <v>548.0</v>
      </c>
      <c r="AX10" s="3">
        <v>345.0</v>
      </c>
      <c r="AY10" s="3">
        <v>424.0</v>
      </c>
      <c r="AZ10" s="3">
        <v>441.0</v>
      </c>
      <c r="BA10" s="3">
        <v>424.0</v>
      </c>
      <c r="BB10" s="3">
        <v>454.0</v>
      </c>
      <c r="BC10" s="3">
        <v>359.0</v>
      </c>
      <c r="BD10" s="3">
        <v>281.0</v>
      </c>
      <c r="BE10" s="3">
        <v>378.0</v>
      </c>
      <c r="BF10" s="3">
        <v>240.0</v>
      </c>
      <c r="BG10" s="3">
        <v>252.0</v>
      </c>
      <c r="BH10" s="3">
        <v>310.0</v>
      </c>
      <c r="BI10" s="3">
        <v>406.0</v>
      </c>
      <c r="BJ10" s="3">
        <v>411.0</v>
      </c>
      <c r="BK10" s="3">
        <v>411.0</v>
      </c>
      <c r="BL10" s="3">
        <v>370.0</v>
      </c>
      <c r="BM10" s="3">
        <v>324.0</v>
      </c>
      <c r="BN10" s="3">
        <v>346.0</v>
      </c>
      <c r="BO10" s="3">
        <v>286.0</v>
      </c>
      <c r="BP10" s="3">
        <v>362.0</v>
      </c>
      <c r="BQ10" s="3">
        <v>388.0</v>
      </c>
      <c r="BR10" s="3">
        <v>379.0</v>
      </c>
      <c r="BS10" s="3">
        <v>411.0</v>
      </c>
      <c r="BT10" s="3">
        <v>343.0</v>
      </c>
      <c r="BU10" s="3">
        <v>356.0</v>
      </c>
      <c r="BV10" s="3">
        <v>378.0</v>
      </c>
      <c r="BW10" s="3">
        <v>365.0</v>
      </c>
      <c r="BX10" s="3">
        <v>289.0</v>
      </c>
      <c r="BY10" s="3">
        <v>308.0</v>
      </c>
      <c r="BZ10" s="3">
        <v>343.0</v>
      </c>
      <c r="CA10" s="3">
        <v>280.0</v>
      </c>
      <c r="CB10" s="3">
        <v>199.0</v>
      </c>
      <c r="CC10" s="3">
        <v>199.0</v>
      </c>
      <c r="CD10" s="3">
        <v>216.0</v>
      </c>
      <c r="CE10" s="3">
        <v>0.0</v>
      </c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</row>
    <row r="12">
      <c r="A12" s="3" t="s">
        <v>33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3">
        <v>3113.0</v>
      </c>
      <c r="AB12" s="3">
        <v>424.0</v>
      </c>
      <c r="AC12" s="3">
        <v>370.0</v>
      </c>
      <c r="AD12" s="3">
        <v>176.0</v>
      </c>
      <c r="AE12" s="3">
        <v>482.0</v>
      </c>
      <c r="AF12" s="3">
        <v>435.0</v>
      </c>
      <c r="AG12" s="3">
        <v>126.0</v>
      </c>
      <c r="AH12" s="3">
        <v>39.0</v>
      </c>
      <c r="AI12" s="3">
        <v>98.0</v>
      </c>
      <c r="AJ12" s="3">
        <v>76.0</v>
      </c>
      <c r="AK12" s="3">
        <v>71.0</v>
      </c>
      <c r="AL12" s="3">
        <v>110.0</v>
      </c>
      <c r="AM12" s="3">
        <v>96.0</v>
      </c>
      <c r="AN12" s="3">
        <v>74.0</v>
      </c>
      <c r="AO12" s="3">
        <v>96.0</v>
      </c>
      <c r="AP12" s="3">
        <v>139.0</v>
      </c>
      <c r="AQ12" s="3">
        <v>154.0</v>
      </c>
      <c r="AR12" s="3">
        <v>139.0</v>
      </c>
      <c r="AS12" s="3">
        <v>153.0</v>
      </c>
      <c r="AT12" s="3">
        <v>193.0</v>
      </c>
      <c r="AU12" s="3">
        <v>139.0</v>
      </c>
      <c r="AV12" s="3">
        <v>245.0</v>
      </c>
      <c r="AW12" s="3">
        <v>178.0</v>
      </c>
      <c r="AX12" s="3">
        <v>109.0</v>
      </c>
      <c r="AY12" s="3">
        <v>139.0</v>
      </c>
      <c r="AZ12" s="3">
        <v>129.0</v>
      </c>
      <c r="BA12" s="3">
        <v>141.0</v>
      </c>
      <c r="BB12" s="3">
        <v>176.0</v>
      </c>
      <c r="BC12" s="3">
        <v>105.0</v>
      </c>
      <c r="BD12" s="3">
        <v>98.0</v>
      </c>
      <c r="BE12" s="3">
        <v>144.0</v>
      </c>
      <c r="BF12" s="3">
        <v>86.0</v>
      </c>
      <c r="BG12" s="3">
        <v>92.0</v>
      </c>
      <c r="BH12" s="3">
        <v>99.0</v>
      </c>
      <c r="BI12" s="3">
        <v>101.0</v>
      </c>
      <c r="BJ12" s="3">
        <v>141.0</v>
      </c>
      <c r="BK12" s="3">
        <v>140.0</v>
      </c>
      <c r="BL12" s="3">
        <v>104.0</v>
      </c>
      <c r="BM12" s="3">
        <v>100.0</v>
      </c>
      <c r="BN12" s="3">
        <v>120.0</v>
      </c>
      <c r="BO12" s="3">
        <v>105.0</v>
      </c>
      <c r="BP12" s="3">
        <v>106.0</v>
      </c>
      <c r="BQ12" s="3">
        <v>133.0</v>
      </c>
      <c r="BR12" s="3">
        <v>98.0</v>
      </c>
      <c r="BS12" s="3">
        <v>103.0</v>
      </c>
      <c r="BT12" s="3">
        <v>93.0</v>
      </c>
      <c r="BU12" s="3">
        <v>97.0</v>
      </c>
      <c r="BV12" s="3">
        <v>103.0</v>
      </c>
      <c r="BW12" s="3">
        <v>100.0</v>
      </c>
      <c r="BX12" s="3">
        <v>64.0</v>
      </c>
      <c r="BY12" s="3">
        <v>100.0</v>
      </c>
      <c r="BZ12" s="3">
        <v>59.0</v>
      </c>
      <c r="CA12" s="3">
        <v>36.0</v>
      </c>
      <c r="CB12" s="3">
        <v>34.0</v>
      </c>
      <c r="CC12" s="3">
        <v>34.0</v>
      </c>
      <c r="CD12" s="3">
        <v>25.0</v>
      </c>
      <c r="CE12" s="3">
        <v>18.0</v>
      </c>
    </row>
    <row r="13">
      <c r="A13" s="3" t="s">
        <v>36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3">
        <v>535.0</v>
      </c>
      <c r="AA13" s="3">
        <v>570.0</v>
      </c>
      <c r="AB13" s="3">
        <v>140.0</v>
      </c>
      <c r="AC13" s="3">
        <v>99.0</v>
      </c>
      <c r="AD13" s="3">
        <v>35.0</v>
      </c>
      <c r="AE13" s="3">
        <v>128.0</v>
      </c>
      <c r="AF13" s="3">
        <v>113.0</v>
      </c>
      <c r="AG13" s="3">
        <v>27.0</v>
      </c>
      <c r="AH13" s="3">
        <v>7.0</v>
      </c>
      <c r="AI13" s="3">
        <v>22.0</v>
      </c>
      <c r="AJ13" s="3">
        <v>24.0</v>
      </c>
      <c r="AK13" s="3">
        <v>17.0</v>
      </c>
      <c r="AL13" s="3">
        <v>26.0</v>
      </c>
      <c r="AM13" s="3">
        <v>15.0</v>
      </c>
      <c r="AN13" s="3">
        <v>24.0</v>
      </c>
      <c r="AO13" s="3">
        <v>18.0</v>
      </c>
      <c r="AP13" s="3">
        <v>41.0</v>
      </c>
      <c r="AQ13" s="3">
        <v>32.0</v>
      </c>
      <c r="AR13" s="3">
        <v>37.0</v>
      </c>
      <c r="AS13" s="3">
        <v>37.0</v>
      </c>
      <c r="AT13" s="3">
        <v>42.0</v>
      </c>
      <c r="AU13" s="3">
        <v>35.0</v>
      </c>
      <c r="AV13" s="3">
        <v>70.0</v>
      </c>
      <c r="AW13" s="3">
        <v>33.0</v>
      </c>
      <c r="AX13" s="3">
        <v>27.0</v>
      </c>
      <c r="AY13" s="3">
        <v>38.0</v>
      </c>
      <c r="AZ13" s="3">
        <v>29.0</v>
      </c>
      <c r="BA13" s="3">
        <v>28.0</v>
      </c>
      <c r="BB13" s="3">
        <v>41.0</v>
      </c>
      <c r="BC13" s="3">
        <v>29.0</v>
      </c>
      <c r="BD13" s="3">
        <v>17.0</v>
      </c>
      <c r="BE13" s="3">
        <v>23.0</v>
      </c>
      <c r="BF13" s="3">
        <v>13.0</v>
      </c>
      <c r="BG13" s="3">
        <v>14.0</v>
      </c>
      <c r="BH13" s="3">
        <v>12.0</v>
      </c>
      <c r="BI13" s="3">
        <v>14.0</v>
      </c>
      <c r="BJ13" s="3">
        <v>16.0</v>
      </c>
      <c r="BK13" s="3">
        <v>21.0</v>
      </c>
      <c r="BL13" s="3">
        <v>20.0</v>
      </c>
      <c r="BM13" s="3">
        <v>22.0</v>
      </c>
      <c r="BN13" s="3">
        <v>30.0</v>
      </c>
      <c r="BO13" s="3">
        <v>26.0</v>
      </c>
      <c r="BP13" s="3">
        <v>27.0</v>
      </c>
      <c r="BQ13" s="3">
        <v>29.0</v>
      </c>
      <c r="BR13" s="3">
        <v>35.0</v>
      </c>
      <c r="BS13" s="3">
        <v>15.0</v>
      </c>
      <c r="BT13" s="3">
        <v>16.0</v>
      </c>
      <c r="BU13" s="3">
        <v>26.0</v>
      </c>
      <c r="BV13" s="3">
        <v>26.0</v>
      </c>
      <c r="BW13" s="3">
        <v>20.0</v>
      </c>
      <c r="BX13" s="3">
        <v>13.0</v>
      </c>
      <c r="BY13" s="3">
        <v>19.0</v>
      </c>
      <c r="BZ13" s="3">
        <v>7.0</v>
      </c>
      <c r="CA13" s="3">
        <v>5.0</v>
      </c>
      <c r="CB13" s="3">
        <v>1.0</v>
      </c>
      <c r="CC13" s="3">
        <v>1.0</v>
      </c>
      <c r="CD13" s="3">
        <v>6.0</v>
      </c>
      <c r="CE13" s="3">
        <v>6.0</v>
      </c>
    </row>
    <row r="14">
      <c r="A14" s="3" t="s">
        <v>38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3">
        <v>955.0</v>
      </c>
      <c r="AC14" s="3">
        <v>642.0</v>
      </c>
      <c r="AD14" s="3">
        <v>250.0</v>
      </c>
      <c r="AE14" s="3">
        <v>846.0</v>
      </c>
      <c r="AF14" s="3">
        <v>844.0</v>
      </c>
      <c r="AG14" s="3">
        <v>191.0</v>
      </c>
      <c r="AH14" s="3">
        <v>100.0</v>
      </c>
      <c r="AI14" s="3">
        <v>135.0</v>
      </c>
      <c r="AJ14" s="3">
        <v>184.0</v>
      </c>
      <c r="AK14" s="3">
        <v>91.0</v>
      </c>
      <c r="AL14" s="3">
        <v>132.0</v>
      </c>
      <c r="AM14" s="3">
        <v>146.0</v>
      </c>
      <c r="AN14" s="3">
        <v>167.0</v>
      </c>
      <c r="AO14" s="3">
        <v>268.0</v>
      </c>
      <c r="AP14" s="3">
        <v>348.0</v>
      </c>
      <c r="AQ14" s="3">
        <v>339.0</v>
      </c>
      <c r="AR14" s="3">
        <v>283.0</v>
      </c>
      <c r="AS14" s="3">
        <v>263.0</v>
      </c>
      <c r="AT14" s="3">
        <v>287.0</v>
      </c>
      <c r="AU14" s="3">
        <v>326.0</v>
      </c>
      <c r="AV14" s="3">
        <v>342.0</v>
      </c>
      <c r="AW14" s="3">
        <v>337.0</v>
      </c>
      <c r="AX14" s="3">
        <v>209.0</v>
      </c>
      <c r="AY14" s="3">
        <v>247.0</v>
      </c>
      <c r="AZ14" s="3">
        <v>283.0</v>
      </c>
      <c r="BA14" s="3">
        <v>255.0</v>
      </c>
      <c r="BB14" s="3">
        <v>237.0</v>
      </c>
      <c r="BC14" s="3">
        <v>225.0</v>
      </c>
      <c r="BD14" s="3">
        <v>166.0</v>
      </c>
      <c r="BE14" s="3">
        <v>211.0</v>
      </c>
      <c r="BF14" s="3">
        <v>137.0</v>
      </c>
      <c r="BG14" s="3">
        <v>146.0</v>
      </c>
      <c r="BH14" s="3">
        <v>199.0</v>
      </c>
      <c r="BI14" s="3">
        <v>291.0</v>
      </c>
      <c r="BJ14" s="3">
        <v>262.0</v>
      </c>
      <c r="BK14" s="3">
        <v>249.0</v>
      </c>
      <c r="BL14" s="3">
        <v>246.0</v>
      </c>
      <c r="BM14" s="3">
        <v>202.0</v>
      </c>
      <c r="BN14" s="3">
        <v>196.0</v>
      </c>
      <c r="BO14" s="3">
        <v>155.0</v>
      </c>
      <c r="BP14" s="3">
        <v>229.0</v>
      </c>
      <c r="BQ14" s="3">
        <v>226.0</v>
      </c>
      <c r="BR14" s="3">
        <v>246.0</v>
      </c>
      <c r="BS14" s="3">
        <v>240.0</v>
      </c>
      <c r="BT14" s="3">
        <v>234.0</v>
      </c>
      <c r="BU14" s="3">
        <v>233.0</v>
      </c>
      <c r="BV14" s="3">
        <v>249.0</v>
      </c>
      <c r="BW14" s="3">
        <v>245.0</v>
      </c>
      <c r="BX14" s="3">
        <v>212.0</v>
      </c>
      <c r="BY14" s="3">
        <v>189.0</v>
      </c>
      <c r="BZ14" s="3">
        <v>277.0</v>
      </c>
      <c r="CA14" s="3">
        <v>239.0</v>
      </c>
      <c r="CB14" s="3">
        <v>164.0</v>
      </c>
      <c r="CC14" s="3">
        <v>164.0</v>
      </c>
      <c r="CD14" s="3">
        <v>185.0</v>
      </c>
      <c r="CE14" s="3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3" t="s">
        <v>41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>
        <v>584.0</v>
      </c>
      <c r="AW16" s="3">
        <v>548.0</v>
      </c>
      <c r="AX16" s="3">
        <v>329.0</v>
      </c>
      <c r="AY16" s="3">
        <v>371.0</v>
      </c>
      <c r="AZ16" s="3">
        <v>298.0</v>
      </c>
      <c r="BA16" s="3">
        <v>389.0</v>
      </c>
      <c r="BB16" s="3">
        <v>374.0</v>
      </c>
      <c r="BC16" s="3">
        <v>282.0</v>
      </c>
      <c r="BD16" s="3">
        <v>253.0</v>
      </c>
      <c r="BE16" s="3">
        <v>378.0</v>
      </c>
      <c r="BF16" s="3">
        <v>223.0</v>
      </c>
      <c r="BG16" s="3">
        <v>252.0</v>
      </c>
      <c r="BH16" s="3">
        <v>283.0</v>
      </c>
      <c r="BI16" s="3">
        <v>376.0</v>
      </c>
      <c r="BJ16" s="3">
        <v>377.0</v>
      </c>
      <c r="BK16" s="3">
        <v>371.0</v>
      </c>
      <c r="BL16" s="3">
        <v>340.0</v>
      </c>
      <c r="BM16" s="3">
        <v>301.0</v>
      </c>
      <c r="BN16" s="3">
        <v>306.0</v>
      </c>
      <c r="BO16" s="3">
        <v>242.0</v>
      </c>
      <c r="BP16" s="3">
        <v>328.0</v>
      </c>
      <c r="BQ16" s="3">
        <v>357.0</v>
      </c>
      <c r="BR16" s="3">
        <v>348.0</v>
      </c>
      <c r="BS16" s="3">
        <v>358.0</v>
      </c>
      <c r="BT16" s="3">
        <v>320.0</v>
      </c>
      <c r="BU16" s="3">
        <v>312.0</v>
      </c>
      <c r="BV16" s="3">
        <v>340.0</v>
      </c>
      <c r="BW16" s="3">
        <v>334.0</v>
      </c>
      <c r="BX16" s="3">
        <v>247.0</v>
      </c>
      <c r="BY16" s="3">
        <v>202.0</v>
      </c>
      <c r="BZ16" s="3">
        <v>221.0</v>
      </c>
      <c r="CA16" s="3">
        <v>192.0</v>
      </c>
      <c r="CB16" s="3">
        <v>155.0</v>
      </c>
      <c r="CC16" s="3">
        <v>155.0</v>
      </c>
      <c r="CD16" s="3">
        <v>10.0</v>
      </c>
      <c r="CE16" s="3">
        <v>0.0</v>
      </c>
    </row>
    <row r="17">
      <c r="C17" s="22"/>
    </row>
    <row r="18">
      <c r="A18" s="3" t="s">
        <v>16</v>
      </c>
      <c r="C18" s="22"/>
    </row>
    <row r="19">
      <c r="A19" s="3" t="s">
        <v>43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>
        <v>146.0</v>
      </c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</row>
    <row r="20">
      <c r="A20" s="3" t="s">
        <v>46</v>
      </c>
      <c r="B20" s="3">
        <v>175.0</v>
      </c>
      <c r="C20" s="3">
        <v>175.0</v>
      </c>
      <c r="D20" s="3">
        <v>105.0</v>
      </c>
      <c r="E20" s="3">
        <v>56.0</v>
      </c>
      <c r="F20" s="3">
        <v>235.0</v>
      </c>
      <c r="G20" s="3">
        <v>158.0</v>
      </c>
      <c r="H20" s="3">
        <v>364.0</v>
      </c>
      <c r="I20" s="3">
        <v>354.0</v>
      </c>
      <c r="J20" s="3">
        <v>426.0</v>
      </c>
      <c r="K20" s="3">
        <v>426.0</v>
      </c>
      <c r="L20" s="3">
        <v>426.0</v>
      </c>
      <c r="M20" s="3">
        <v>142.0</v>
      </c>
      <c r="N20" s="3">
        <v>120.0</v>
      </c>
      <c r="O20" s="3">
        <v>330.0</v>
      </c>
      <c r="P20" s="3">
        <v>400.0</v>
      </c>
      <c r="Q20" s="3">
        <v>1000.0</v>
      </c>
      <c r="R20" s="3">
        <v>1000.0</v>
      </c>
      <c r="S20" s="3">
        <v>1000.0</v>
      </c>
      <c r="T20" s="3">
        <v>850.0</v>
      </c>
      <c r="V20" s="3">
        <v>471.0</v>
      </c>
      <c r="W20" s="3">
        <v>493.0</v>
      </c>
      <c r="X20" s="3">
        <v>988.0</v>
      </c>
      <c r="Y20" s="3">
        <v>500.0</v>
      </c>
      <c r="Z20" s="3">
        <v>750.0</v>
      </c>
      <c r="AA20" s="3">
        <v>1170.0</v>
      </c>
      <c r="AB20" s="3">
        <v>1634.0</v>
      </c>
      <c r="AC20" s="3">
        <v>1115.0</v>
      </c>
      <c r="AD20" s="3">
        <v>667.0</v>
      </c>
      <c r="AE20" s="3">
        <v>182.0</v>
      </c>
      <c r="AF20" s="3">
        <v>1313.0</v>
      </c>
      <c r="AG20" s="3">
        <v>355.0</v>
      </c>
      <c r="AH20" s="3">
        <v>146.0</v>
      </c>
      <c r="AI20" s="3">
        <v>203.0</v>
      </c>
      <c r="AJ20" s="3">
        <v>284.0</v>
      </c>
      <c r="AK20" s="3">
        <v>201.0</v>
      </c>
      <c r="AL20" s="3">
        <v>268.0</v>
      </c>
      <c r="AM20" s="3">
        <v>257.0</v>
      </c>
      <c r="AN20" s="3">
        <v>265.0</v>
      </c>
      <c r="AO20" s="3">
        <v>382.0</v>
      </c>
      <c r="AP20" s="3">
        <v>528.0</v>
      </c>
      <c r="AQ20" s="3">
        <v>430.0</v>
      </c>
      <c r="AR20" s="3">
        <v>447.0</v>
      </c>
      <c r="AS20" s="3">
        <v>398.0</v>
      </c>
      <c r="AT20" s="3">
        <v>501.0</v>
      </c>
      <c r="AU20" s="3">
        <v>444.0</v>
      </c>
      <c r="AV20" s="3"/>
      <c r="AW20" s="3"/>
      <c r="AX20" s="3"/>
    </row>
    <row r="21">
      <c r="A21" s="3" t="s">
        <v>47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>
        <v>179.0</v>
      </c>
      <c r="AL21" s="3">
        <v>258.0</v>
      </c>
      <c r="AM21" s="3"/>
    </row>
    <row r="22">
      <c r="A22" s="3" t="s">
        <v>49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>
        <v>2.0</v>
      </c>
      <c r="AL22" s="3">
        <v>1.0</v>
      </c>
      <c r="AM22" s="3"/>
    </row>
    <row r="23">
      <c r="A23" s="3" t="s">
        <v>51</v>
      </c>
      <c r="C23" s="15"/>
      <c r="F23" s="3">
        <v>158.0</v>
      </c>
      <c r="G23" s="3">
        <v>161.0</v>
      </c>
      <c r="H23" s="3">
        <v>119.0</v>
      </c>
      <c r="I23" s="3">
        <v>128.0</v>
      </c>
      <c r="J23" s="3">
        <v>204.0</v>
      </c>
      <c r="K23" s="3">
        <v>200.0</v>
      </c>
      <c r="L23" s="3">
        <v>393.0</v>
      </c>
      <c r="M23" s="3">
        <v>248.0</v>
      </c>
      <c r="N23" s="3">
        <v>290.0</v>
      </c>
      <c r="O23" s="3">
        <v>309.0</v>
      </c>
      <c r="P23" s="3">
        <v>495.0</v>
      </c>
      <c r="Q23" s="3">
        <v>480.0</v>
      </c>
      <c r="R23" s="3">
        <v>820.0</v>
      </c>
      <c r="S23" s="3">
        <v>850.0</v>
      </c>
      <c r="T23" s="3">
        <v>820.0</v>
      </c>
      <c r="U23" s="3">
        <v>527.0</v>
      </c>
      <c r="V23" s="3">
        <v>329.0</v>
      </c>
      <c r="W23" s="3">
        <v>346.0</v>
      </c>
      <c r="X23" s="3">
        <v>327.0</v>
      </c>
      <c r="Y23" s="3">
        <v>365.0</v>
      </c>
      <c r="Z23" s="3">
        <v>408.0</v>
      </c>
      <c r="AA23" s="3">
        <v>270.0</v>
      </c>
      <c r="AB23" s="3">
        <v>386.0</v>
      </c>
      <c r="AC23" s="3">
        <v>309.0</v>
      </c>
      <c r="AD23" s="3">
        <v>106.0</v>
      </c>
      <c r="AE23" s="3">
        <v>4.0</v>
      </c>
      <c r="AF23" s="3">
        <v>0.0</v>
      </c>
      <c r="AG23" s="3">
        <v>0.0</v>
      </c>
      <c r="AH23" s="3">
        <v>13.0</v>
      </c>
      <c r="AI23" s="3">
        <v>57.0</v>
      </c>
      <c r="AJ23" s="3">
        <v>3.0</v>
      </c>
      <c r="AK23" s="3">
        <v>0.0</v>
      </c>
      <c r="AL23" s="3">
        <v>0.0</v>
      </c>
      <c r="AM23" s="3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  <c r="BH1" s="1">
        <v>45499.0</v>
      </c>
      <c r="BI1" s="1">
        <v>45506.0</v>
      </c>
      <c r="BJ1" s="1">
        <v>45513.0</v>
      </c>
      <c r="BK1" s="1">
        <v>45520.0</v>
      </c>
      <c r="BL1" s="1">
        <v>45527.0</v>
      </c>
      <c r="BM1" s="1">
        <v>45534.0</v>
      </c>
      <c r="BN1" s="1">
        <v>45541.0</v>
      </c>
      <c r="BO1" s="1">
        <v>45548.0</v>
      </c>
      <c r="BP1" s="1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3"/>
      <c r="C2" s="3"/>
      <c r="D2" s="7" t="s">
        <v>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</row>
    <row r="3">
      <c r="A3" s="6" t="s">
        <v>10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</row>
    <row r="4">
      <c r="A4" s="3" t="s">
        <v>13</v>
      </c>
      <c r="B4" s="3">
        <v>5552.0</v>
      </c>
      <c r="C4" s="3">
        <v>3422.0</v>
      </c>
      <c r="D4" s="3">
        <v>3545.0</v>
      </c>
      <c r="E4" s="3">
        <v>3630.0</v>
      </c>
      <c r="F4" s="3">
        <v>3677.0</v>
      </c>
      <c r="G4" s="3">
        <v>3782.0</v>
      </c>
      <c r="H4" s="3">
        <v>3944.0</v>
      </c>
      <c r="I4" s="3">
        <v>4175.0</v>
      </c>
      <c r="J4" s="3">
        <v>4205.0</v>
      </c>
      <c r="K4" s="3">
        <v>4469.0</v>
      </c>
      <c r="L4" s="3">
        <v>4577.0</v>
      </c>
      <c r="M4" s="3">
        <v>4625.0</v>
      </c>
      <c r="N4" s="3">
        <v>4713.0</v>
      </c>
      <c r="O4" s="3">
        <v>4928.0</v>
      </c>
      <c r="P4" s="3">
        <v>6208.0</v>
      </c>
      <c r="Q4" s="3">
        <v>6816.0</v>
      </c>
      <c r="R4" s="3">
        <v>7594.0</v>
      </c>
      <c r="S4" s="3">
        <v>7594.0</v>
      </c>
      <c r="T4" s="3">
        <v>8639.0</v>
      </c>
      <c r="U4" s="3">
        <v>9007.0</v>
      </c>
      <c r="V4" s="3">
        <v>8926.0</v>
      </c>
      <c r="W4" s="3">
        <v>9155.0</v>
      </c>
      <c r="X4" s="3">
        <v>9324.0</v>
      </c>
      <c r="Y4" s="3">
        <v>9720.0</v>
      </c>
      <c r="Z4" s="3">
        <v>10146.0</v>
      </c>
      <c r="AA4" s="3">
        <v>10367.0</v>
      </c>
      <c r="AB4" s="3">
        <v>10549.0</v>
      </c>
      <c r="AC4" s="3">
        <v>10570.0</v>
      </c>
      <c r="AD4" s="3">
        <v>10678.0</v>
      </c>
      <c r="AE4" s="3">
        <v>10963.0</v>
      </c>
      <c r="AF4" s="3">
        <v>11328.0</v>
      </c>
      <c r="AG4" s="3">
        <v>11206.0</v>
      </c>
      <c r="AH4" s="3">
        <v>11534.0</v>
      </c>
      <c r="AI4" s="3">
        <v>11445.0</v>
      </c>
      <c r="AJ4" s="3">
        <v>11307.0</v>
      </c>
      <c r="AK4" s="3">
        <v>10725.0</v>
      </c>
      <c r="AL4" s="3">
        <v>10536.0</v>
      </c>
      <c r="AM4" s="9">
        <v>10195.0</v>
      </c>
      <c r="AN4" s="9">
        <v>9844.0</v>
      </c>
      <c r="AO4" s="9">
        <v>9337.0</v>
      </c>
      <c r="AP4" s="9">
        <v>8843.0</v>
      </c>
      <c r="AQ4" s="9">
        <v>8416.0</v>
      </c>
      <c r="AR4" s="9">
        <v>8137.0</v>
      </c>
      <c r="AS4" s="9">
        <v>7778.0</v>
      </c>
      <c r="AT4" s="9">
        <v>7361.0</v>
      </c>
      <c r="AU4" s="9">
        <v>7169.0</v>
      </c>
      <c r="AV4" s="9">
        <v>6881.0</v>
      </c>
      <c r="AW4" s="9">
        <v>6440.0</v>
      </c>
      <c r="AX4" s="9">
        <v>6223.0</v>
      </c>
      <c r="AY4" s="9">
        <v>5953.0</v>
      </c>
      <c r="AZ4" s="9">
        <v>5577.0</v>
      </c>
      <c r="BA4" s="9">
        <v>5492.0</v>
      </c>
      <c r="BB4" s="9">
        <v>5362.0</v>
      </c>
      <c r="BC4" s="9">
        <v>4918.0</v>
      </c>
      <c r="BD4" s="9">
        <v>4791.0</v>
      </c>
      <c r="BE4" s="9">
        <v>4443.0</v>
      </c>
      <c r="BF4" s="9">
        <v>4446.0</v>
      </c>
      <c r="BG4" s="9">
        <v>4303.0</v>
      </c>
      <c r="BH4" s="9">
        <v>4063.0</v>
      </c>
      <c r="BI4" s="9">
        <v>3969.0</v>
      </c>
      <c r="BJ4" s="9">
        <v>3919.0</v>
      </c>
      <c r="BK4" s="9">
        <v>3869.0</v>
      </c>
      <c r="BL4" s="9">
        <v>3814.0</v>
      </c>
      <c r="BM4" s="9">
        <v>3743.0</v>
      </c>
      <c r="BN4" s="9">
        <v>3724.0</v>
      </c>
      <c r="BO4" s="9">
        <v>3687.0</v>
      </c>
      <c r="BP4" s="17" t="s">
        <v>21</v>
      </c>
      <c r="BQ4" s="17">
        <v>3528.0</v>
      </c>
      <c r="BR4" s="17">
        <v>3503.0</v>
      </c>
      <c r="BS4" s="17">
        <v>3386.0</v>
      </c>
      <c r="BT4" s="17">
        <v>3241.0</v>
      </c>
      <c r="BU4" s="17">
        <v>3243.0</v>
      </c>
      <c r="BV4" s="17">
        <v>3232.0</v>
      </c>
      <c r="BW4" s="17">
        <v>3002.0</v>
      </c>
      <c r="BX4" s="17">
        <v>2515.0</v>
      </c>
      <c r="BY4" s="17">
        <v>2155.0</v>
      </c>
      <c r="BZ4" s="17">
        <v>1756.0</v>
      </c>
      <c r="CA4" s="17">
        <v>1359.0</v>
      </c>
      <c r="CB4" s="17">
        <v>1102.0</v>
      </c>
      <c r="CC4" s="19">
        <v>1014.0</v>
      </c>
      <c r="CD4" s="20">
        <v>879.0</v>
      </c>
    </row>
    <row r="5">
      <c r="A5" s="3" t="s">
        <v>22</v>
      </c>
      <c r="B5" s="3">
        <v>433.0</v>
      </c>
      <c r="C5" s="3">
        <v>334.0</v>
      </c>
      <c r="D5" s="3">
        <v>338.0</v>
      </c>
      <c r="E5" s="3">
        <v>315.0</v>
      </c>
      <c r="F5" s="3">
        <v>322.0</v>
      </c>
      <c r="G5" s="3">
        <v>312.0</v>
      </c>
      <c r="H5" s="3">
        <v>296.0</v>
      </c>
      <c r="I5" s="3">
        <v>298.0</v>
      </c>
      <c r="J5" s="3">
        <v>295.0</v>
      </c>
      <c r="K5" s="3">
        <v>306.0</v>
      </c>
      <c r="L5" s="3">
        <v>299.0</v>
      </c>
      <c r="M5" s="3">
        <v>306.0</v>
      </c>
      <c r="N5" s="3">
        <v>306.0</v>
      </c>
      <c r="O5" s="3">
        <v>306.0</v>
      </c>
      <c r="P5" s="3">
        <v>346.0</v>
      </c>
      <c r="Q5" s="3">
        <v>384.0</v>
      </c>
      <c r="R5" s="3">
        <v>393.0</v>
      </c>
      <c r="S5" s="3">
        <v>393.0</v>
      </c>
      <c r="T5" s="3">
        <v>425.0</v>
      </c>
      <c r="U5" s="3">
        <v>439.0</v>
      </c>
      <c r="V5" s="3">
        <v>434.0</v>
      </c>
      <c r="W5" s="3">
        <v>422.0</v>
      </c>
      <c r="X5" s="3">
        <v>438.0</v>
      </c>
      <c r="Y5" s="3">
        <v>465.0</v>
      </c>
      <c r="Z5" s="3">
        <v>509.0</v>
      </c>
      <c r="AA5" s="3">
        <v>549.0</v>
      </c>
      <c r="AB5" s="3">
        <v>559.0</v>
      </c>
      <c r="AC5" s="3">
        <v>581.0</v>
      </c>
      <c r="AD5" s="3">
        <v>618.0</v>
      </c>
      <c r="AE5" s="3">
        <v>623.0</v>
      </c>
      <c r="AF5" s="3">
        <v>688.0</v>
      </c>
      <c r="AG5" s="3">
        <v>677.0</v>
      </c>
      <c r="AH5" s="3">
        <v>671.0</v>
      </c>
      <c r="AI5" s="3">
        <v>694.0</v>
      </c>
      <c r="AJ5" s="3">
        <v>686.0</v>
      </c>
      <c r="AK5" s="3">
        <v>688.0</v>
      </c>
      <c r="AL5" s="3">
        <v>709.0</v>
      </c>
      <c r="AM5" s="9">
        <v>699.0</v>
      </c>
      <c r="AN5" s="9">
        <v>708.0</v>
      </c>
      <c r="AO5" s="9">
        <v>714.0</v>
      </c>
      <c r="AP5" s="9">
        <v>700.0</v>
      </c>
      <c r="AQ5" s="9">
        <v>708.0</v>
      </c>
      <c r="AR5" s="9">
        <v>704.0</v>
      </c>
      <c r="AS5" s="9">
        <v>671.0</v>
      </c>
      <c r="AT5" s="9">
        <v>654.0</v>
      </c>
      <c r="AU5" s="9">
        <v>642.0</v>
      </c>
      <c r="AV5" s="9">
        <v>638.0</v>
      </c>
      <c r="AW5" s="9">
        <v>608.0</v>
      </c>
      <c r="AX5" s="9">
        <v>588.0</v>
      </c>
      <c r="AY5" s="9">
        <v>569.0</v>
      </c>
      <c r="AZ5" s="9">
        <v>552.0</v>
      </c>
      <c r="BA5" s="9">
        <v>534.0</v>
      </c>
      <c r="BB5" s="9">
        <v>553.0</v>
      </c>
      <c r="BC5" s="9">
        <v>522.0</v>
      </c>
      <c r="BD5" s="9">
        <v>505.0</v>
      </c>
      <c r="BE5" s="9">
        <v>486.0</v>
      </c>
      <c r="BF5" s="9">
        <v>486.0</v>
      </c>
      <c r="BG5" s="9">
        <v>468.0</v>
      </c>
      <c r="BH5" s="9">
        <v>446.0</v>
      </c>
      <c r="BI5" s="9">
        <v>458.0</v>
      </c>
      <c r="BJ5" s="9">
        <v>454.0</v>
      </c>
      <c r="BK5" s="9">
        <v>461.0</v>
      </c>
      <c r="BL5" s="9">
        <v>444.0</v>
      </c>
      <c r="BM5" s="9">
        <v>447.0</v>
      </c>
      <c r="BN5" s="9">
        <v>451.0</v>
      </c>
      <c r="BO5" s="9">
        <v>445.0</v>
      </c>
      <c r="BP5" s="9">
        <v>454.0</v>
      </c>
      <c r="BQ5" s="11">
        <v>455.0</v>
      </c>
      <c r="BR5" s="11">
        <v>451.0</v>
      </c>
      <c r="BS5" s="11">
        <v>446.0</v>
      </c>
      <c r="BT5" s="11">
        <v>404.0</v>
      </c>
      <c r="BU5" s="11">
        <v>404.0</v>
      </c>
      <c r="BV5" s="11">
        <v>419.0</v>
      </c>
      <c r="BW5" s="11">
        <v>387.0</v>
      </c>
      <c r="BX5" s="11">
        <v>320.0</v>
      </c>
      <c r="BY5" s="11">
        <v>277.0</v>
      </c>
      <c r="BZ5" s="11">
        <v>230.0</v>
      </c>
      <c r="CA5" s="11">
        <v>191.0</v>
      </c>
      <c r="CB5" s="11">
        <v>151.0</v>
      </c>
      <c r="CC5" s="19">
        <v>144.0</v>
      </c>
      <c r="CD5" s="20">
        <v>135.0</v>
      </c>
    </row>
    <row r="6">
      <c r="A6" s="3" t="s">
        <v>29</v>
      </c>
      <c r="D6" s="14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11"/>
      <c r="BR6" s="11"/>
      <c r="BS6" s="11"/>
      <c r="BT6" s="11"/>
      <c r="BU6" s="11"/>
      <c r="BV6" s="11">
        <v>94.0</v>
      </c>
      <c r="BW6" s="11">
        <v>76.0</v>
      </c>
      <c r="BX6" s="11">
        <v>27.0</v>
      </c>
      <c r="BY6" s="11">
        <v>27.0</v>
      </c>
      <c r="BZ6" s="11">
        <v>19.0</v>
      </c>
      <c r="CA6" s="11">
        <v>17.0</v>
      </c>
      <c r="CB6" s="11">
        <v>16.0</v>
      </c>
      <c r="CC6" s="19">
        <v>17.0</v>
      </c>
      <c r="CD6" s="20">
        <v>48.0</v>
      </c>
    </row>
    <row r="7">
      <c r="A7" s="3" t="s">
        <v>31</v>
      </c>
      <c r="B7" s="3">
        <v>95.0</v>
      </c>
      <c r="C7" s="3">
        <v>67.0</v>
      </c>
      <c r="D7" s="3">
        <v>51.0</v>
      </c>
      <c r="E7" s="3">
        <v>54.0</v>
      </c>
      <c r="F7" s="3">
        <v>54.0</v>
      </c>
      <c r="G7" s="3">
        <v>50.0</v>
      </c>
      <c r="H7" s="3">
        <v>58.0</v>
      </c>
      <c r="I7" s="3">
        <v>53.0</v>
      </c>
      <c r="J7" s="3">
        <v>56.0</v>
      </c>
      <c r="K7" s="3">
        <v>65.0</v>
      </c>
      <c r="L7" s="3">
        <v>62.0</v>
      </c>
      <c r="M7" s="3">
        <v>63.0</v>
      </c>
      <c r="N7" s="3">
        <v>66.0</v>
      </c>
      <c r="O7" s="3">
        <v>63.0</v>
      </c>
      <c r="P7" s="3">
        <v>87.0</v>
      </c>
      <c r="Q7" s="3">
        <v>100.0</v>
      </c>
      <c r="R7" s="3">
        <v>112.0</v>
      </c>
      <c r="S7" s="3">
        <v>112.0</v>
      </c>
      <c r="T7" s="3">
        <v>126.0</v>
      </c>
      <c r="U7" s="3">
        <v>133.0</v>
      </c>
      <c r="V7" s="3">
        <v>140.0</v>
      </c>
      <c r="W7" s="3">
        <v>142.0</v>
      </c>
      <c r="X7" s="3">
        <v>147.0</v>
      </c>
      <c r="Y7" s="3">
        <v>158.0</v>
      </c>
      <c r="Z7" s="3">
        <v>185.0</v>
      </c>
      <c r="AA7" s="3">
        <v>200.0</v>
      </c>
      <c r="AB7" s="3">
        <v>200.0</v>
      </c>
      <c r="AC7" s="3">
        <v>203.0</v>
      </c>
      <c r="AD7" s="3">
        <v>207.0</v>
      </c>
      <c r="AE7" s="3">
        <v>217.0</v>
      </c>
      <c r="AF7" s="3">
        <v>226.0</v>
      </c>
      <c r="AG7" s="3">
        <v>222.0</v>
      </c>
      <c r="AH7" s="3">
        <v>252.0</v>
      </c>
      <c r="AI7" s="3">
        <v>272.0</v>
      </c>
      <c r="AJ7" s="3">
        <v>263.0</v>
      </c>
      <c r="AK7" s="3">
        <v>259.0</v>
      </c>
      <c r="AL7" s="3">
        <v>258.0</v>
      </c>
      <c r="AM7" s="9">
        <v>269.0</v>
      </c>
      <c r="AN7" s="9">
        <v>283.0</v>
      </c>
      <c r="AO7" s="9">
        <v>296.0</v>
      </c>
      <c r="AP7" s="9">
        <v>299.0</v>
      </c>
      <c r="AQ7" s="9">
        <v>306.0</v>
      </c>
      <c r="AR7" s="9">
        <v>303.0</v>
      </c>
      <c r="AS7" s="9">
        <v>298.0</v>
      </c>
      <c r="AT7" s="9">
        <v>292.0</v>
      </c>
      <c r="AU7" s="9">
        <v>282.0</v>
      </c>
      <c r="AV7" s="9">
        <v>281.0</v>
      </c>
      <c r="AW7" s="9">
        <v>282.0</v>
      </c>
      <c r="AX7" s="21" t="s">
        <v>32</v>
      </c>
      <c r="AY7" s="9">
        <v>272.0</v>
      </c>
      <c r="AZ7" s="9">
        <v>270.0</v>
      </c>
      <c r="BA7" s="9">
        <v>267.0</v>
      </c>
      <c r="BB7" s="9">
        <v>298.0</v>
      </c>
      <c r="BC7" s="9">
        <v>262.0</v>
      </c>
      <c r="BD7" s="9">
        <v>272.0</v>
      </c>
      <c r="BE7" s="9">
        <v>254.0</v>
      </c>
      <c r="BF7" s="9">
        <v>267.0</v>
      </c>
      <c r="BG7" s="9">
        <v>256.0</v>
      </c>
      <c r="BH7" s="9">
        <v>248.0</v>
      </c>
      <c r="BI7" s="9">
        <v>260.0</v>
      </c>
      <c r="BJ7" s="9">
        <v>248.0</v>
      </c>
      <c r="BK7" s="9">
        <v>249.0</v>
      </c>
      <c r="BL7" s="9">
        <v>241.0</v>
      </c>
      <c r="BM7" s="9">
        <v>232.0</v>
      </c>
      <c r="BN7" s="9">
        <v>229.0</v>
      </c>
      <c r="BO7" s="9">
        <v>221.0</v>
      </c>
      <c r="BP7" s="9">
        <v>224.0</v>
      </c>
      <c r="BQ7" s="11">
        <v>222.0</v>
      </c>
      <c r="BR7" s="11">
        <v>221.0</v>
      </c>
      <c r="BS7" s="11">
        <v>217.0</v>
      </c>
      <c r="BT7" s="11">
        <v>201.0</v>
      </c>
      <c r="BU7" s="11">
        <v>196.0</v>
      </c>
      <c r="BV7" s="11">
        <v>191.0</v>
      </c>
      <c r="BW7" s="11">
        <v>167.0</v>
      </c>
      <c r="BX7" s="11">
        <v>147.0</v>
      </c>
      <c r="BY7" s="11">
        <v>116.0</v>
      </c>
      <c r="BZ7" s="11">
        <v>87.0</v>
      </c>
      <c r="CA7" s="11">
        <v>62.0</v>
      </c>
      <c r="CB7" s="11">
        <v>45.0</v>
      </c>
      <c r="CC7" s="19">
        <v>44.0</v>
      </c>
      <c r="CD7" s="20">
        <v>39.0</v>
      </c>
    </row>
    <row r="8">
      <c r="A8" s="3" t="s">
        <v>34</v>
      </c>
      <c r="B8" s="3">
        <v>42.0</v>
      </c>
      <c r="C8" s="3">
        <v>36.0</v>
      </c>
      <c r="D8" s="3">
        <v>36.0</v>
      </c>
      <c r="E8" s="3">
        <v>35.0</v>
      </c>
      <c r="F8" s="3">
        <v>37.0</v>
      </c>
      <c r="G8" s="3">
        <v>31.0</v>
      </c>
      <c r="H8" s="3">
        <v>34.0</v>
      </c>
      <c r="I8" s="3">
        <v>34.0</v>
      </c>
      <c r="J8" s="3">
        <v>32.0</v>
      </c>
      <c r="K8" s="3">
        <v>33.0</v>
      </c>
      <c r="L8" s="3">
        <v>32.0</v>
      </c>
      <c r="M8" s="3">
        <v>32.0</v>
      </c>
      <c r="N8" s="3">
        <v>31.0</v>
      </c>
      <c r="O8" s="3">
        <v>34.0</v>
      </c>
      <c r="P8" s="3">
        <v>39.0</v>
      </c>
      <c r="Q8" s="3">
        <v>42.0</v>
      </c>
      <c r="R8" s="3">
        <v>47.0</v>
      </c>
      <c r="S8" s="3">
        <v>47.0</v>
      </c>
      <c r="T8" s="3">
        <v>57.0</v>
      </c>
      <c r="U8" s="3">
        <v>61.0</v>
      </c>
      <c r="V8" s="3">
        <v>64.0</v>
      </c>
      <c r="W8" s="3">
        <v>64.0</v>
      </c>
      <c r="X8" s="3">
        <v>74.0</v>
      </c>
      <c r="Y8" s="3">
        <v>80.0</v>
      </c>
      <c r="Z8" s="3">
        <v>90.0</v>
      </c>
      <c r="AA8" s="3">
        <v>98.0</v>
      </c>
      <c r="AB8" s="3">
        <v>104.0</v>
      </c>
      <c r="AC8" s="3">
        <v>111.0</v>
      </c>
      <c r="AD8" s="3">
        <v>114.0</v>
      </c>
      <c r="AE8" s="3">
        <v>114.0</v>
      </c>
      <c r="AF8" s="3">
        <v>118.0</v>
      </c>
      <c r="AG8" s="3">
        <v>120.0</v>
      </c>
      <c r="AH8" s="3">
        <v>124.0</v>
      </c>
      <c r="AI8" s="3">
        <v>131.0</v>
      </c>
      <c r="AJ8" s="3">
        <v>131.0</v>
      </c>
      <c r="AK8" s="3">
        <v>133.0</v>
      </c>
      <c r="AL8" s="3">
        <v>141.0</v>
      </c>
      <c r="AM8" s="9">
        <v>133.0</v>
      </c>
      <c r="AN8" s="9">
        <v>139.0</v>
      </c>
      <c r="AO8" s="9">
        <v>131.0</v>
      </c>
      <c r="AP8" s="9">
        <v>137.0</v>
      </c>
      <c r="AQ8" s="9">
        <v>132.0</v>
      </c>
      <c r="AR8" s="9">
        <v>110.0</v>
      </c>
      <c r="AS8" s="9">
        <v>120.0</v>
      </c>
      <c r="AT8" s="9">
        <v>121.0</v>
      </c>
      <c r="AU8" s="9">
        <v>116.0</v>
      </c>
      <c r="AV8" s="9">
        <v>105.0</v>
      </c>
      <c r="AW8" s="9">
        <v>103.0</v>
      </c>
      <c r="AX8" s="9">
        <v>101.0</v>
      </c>
      <c r="AY8" s="9">
        <v>96.0</v>
      </c>
      <c r="AZ8" s="9">
        <v>92.0</v>
      </c>
      <c r="BA8" s="9">
        <v>87.0</v>
      </c>
      <c r="BB8" s="9">
        <v>83.0</v>
      </c>
      <c r="BC8" s="9">
        <v>67.0</v>
      </c>
      <c r="BD8" s="9">
        <v>77.0</v>
      </c>
      <c r="BE8" s="9">
        <v>72.0</v>
      </c>
      <c r="BF8" s="9">
        <v>71.0</v>
      </c>
      <c r="BG8" s="9">
        <v>72.0</v>
      </c>
      <c r="BH8" s="9">
        <v>69.0</v>
      </c>
      <c r="BI8" s="9">
        <v>69.0</v>
      </c>
      <c r="BJ8" s="9">
        <v>68.0</v>
      </c>
      <c r="BK8" s="9">
        <v>60.0</v>
      </c>
      <c r="BL8" s="9">
        <v>66.0</v>
      </c>
      <c r="BM8" s="9">
        <v>59.0</v>
      </c>
      <c r="BN8" s="9">
        <v>62.0</v>
      </c>
      <c r="BO8" s="9">
        <v>68.0</v>
      </c>
      <c r="BP8" s="9">
        <v>65.0</v>
      </c>
      <c r="BQ8" s="11">
        <v>56.0</v>
      </c>
      <c r="BR8" s="11">
        <v>56.0</v>
      </c>
      <c r="BS8" s="11">
        <v>53.0</v>
      </c>
      <c r="BT8" s="11">
        <v>57.0</v>
      </c>
      <c r="BU8" s="11">
        <v>51.0</v>
      </c>
      <c r="BV8" s="11">
        <v>57.0</v>
      </c>
      <c r="BW8" s="11">
        <v>55.0</v>
      </c>
      <c r="BX8" s="11">
        <v>43.0</v>
      </c>
      <c r="BY8" s="11">
        <v>35.0</v>
      </c>
      <c r="BZ8" s="11">
        <v>30.0</v>
      </c>
      <c r="CA8" s="11">
        <v>25.0</v>
      </c>
      <c r="CB8" s="11">
        <v>22.0</v>
      </c>
      <c r="CC8" s="19">
        <v>22.0</v>
      </c>
      <c r="CD8" s="20">
        <v>20.0</v>
      </c>
    </row>
    <row r="9">
      <c r="A9" s="3" t="s">
        <v>37</v>
      </c>
      <c r="D9" s="14"/>
      <c r="L9" s="3">
        <v>43.0</v>
      </c>
      <c r="M9" s="3">
        <v>43.0</v>
      </c>
      <c r="N9" s="3">
        <v>68.0</v>
      </c>
      <c r="O9" s="3">
        <v>80.0</v>
      </c>
      <c r="P9" s="3">
        <v>154.0</v>
      </c>
      <c r="Q9" s="3">
        <v>167.0</v>
      </c>
      <c r="R9" s="3">
        <v>167.0</v>
      </c>
      <c r="S9" s="3">
        <v>167.0</v>
      </c>
      <c r="T9" s="3">
        <v>192.0</v>
      </c>
      <c r="U9" s="3">
        <v>194.0</v>
      </c>
      <c r="V9" s="3">
        <v>190.0</v>
      </c>
      <c r="W9" s="3">
        <v>191.0</v>
      </c>
      <c r="X9" s="3">
        <v>198.0</v>
      </c>
      <c r="Y9" s="3">
        <v>185.0</v>
      </c>
      <c r="Z9" s="3">
        <v>191.0</v>
      </c>
      <c r="AA9" s="3">
        <v>180.0</v>
      </c>
      <c r="AB9" s="3">
        <v>176.0</v>
      </c>
      <c r="AC9" s="3">
        <v>168.0</v>
      </c>
      <c r="AD9" s="3">
        <v>159.0</v>
      </c>
      <c r="AE9" s="3">
        <v>155.0</v>
      </c>
      <c r="AF9" s="3">
        <v>151.0</v>
      </c>
      <c r="AG9" s="3">
        <v>147.0</v>
      </c>
      <c r="AH9" s="3">
        <v>149.0</v>
      </c>
      <c r="AI9" s="3">
        <v>143.0</v>
      </c>
      <c r="AJ9" s="3">
        <v>135.0</v>
      </c>
      <c r="AK9" s="3">
        <v>142.0</v>
      </c>
      <c r="AL9" s="3">
        <v>142.0</v>
      </c>
      <c r="AM9" s="9">
        <v>135.0</v>
      </c>
      <c r="AN9" s="9">
        <v>127.0</v>
      </c>
      <c r="AO9" s="9">
        <v>113.0</v>
      </c>
      <c r="AP9" s="9">
        <v>117.0</v>
      </c>
      <c r="AQ9" s="9">
        <v>101.0</v>
      </c>
      <c r="AR9" s="9">
        <v>92.0</v>
      </c>
      <c r="AS9" s="9">
        <v>78.0</v>
      </c>
      <c r="AT9" s="9">
        <v>85.0</v>
      </c>
      <c r="AU9" s="9">
        <v>79.0</v>
      </c>
      <c r="AV9" s="9">
        <v>67.0</v>
      </c>
      <c r="AW9" s="9">
        <v>61.0</v>
      </c>
      <c r="AX9" s="9">
        <v>56.0</v>
      </c>
      <c r="AY9" s="9">
        <v>60.0</v>
      </c>
      <c r="AZ9" s="9">
        <v>54.0</v>
      </c>
      <c r="BA9" s="9">
        <v>46.0</v>
      </c>
      <c r="BB9" s="9">
        <v>49.0</v>
      </c>
      <c r="BC9" s="9">
        <v>40.0</v>
      </c>
      <c r="BD9" s="9">
        <v>50.0</v>
      </c>
      <c r="BE9" s="9">
        <v>45.0</v>
      </c>
      <c r="BF9" s="9">
        <v>58.0</v>
      </c>
      <c r="BG9" s="9">
        <v>60.0</v>
      </c>
      <c r="BH9" s="9">
        <v>57.0</v>
      </c>
      <c r="BI9" s="9">
        <v>60.0</v>
      </c>
      <c r="BJ9" s="9">
        <v>67.0</v>
      </c>
      <c r="BK9" s="9">
        <v>61.0</v>
      </c>
      <c r="BL9" s="9">
        <v>64.0</v>
      </c>
      <c r="BM9" s="9">
        <v>66.0</v>
      </c>
      <c r="BN9" s="9">
        <v>63.0</v>
      </c>
      <c r="BO9" s="9">
        <v>61.0</v>
      </c>
      <c r="BP9" s="9">
        <v>63.0</v>
      </c>
      <c r="BQ9" s="11">
        <v>66.0</v>
      </c>
      <c r="BR9" s="11">
        <v>63.0</v>
      </c>
      <c r="BS9" s="11">
        <v>62.0</v>
      </c>
      <c r="BT9" s="11">
        <v>61.0</v>
      </c>
      <c r="BU9" s="11">
        <v>61.0</v>
      </c>
      <c r="BV9" s="11">
        <v>58.0</v>
      </c>
      <c r="BW9" s="11">
        <v>58.0</v>
      </c>
      <c r="BX9" s="11">
        <v>54.0</v>
      </c>
      <c r="BY9" s="11">
        <v>50.0</v>
      </c>
      <c r="BZ9" s="11">
        <v>48.0</v>
      </c>
      <c r="CA9" s="11">
        <v>41.0</v>
      </c>
      <c r="CB9" s="11">
        <v>33.0</v>
      </c>
      <c r="CC9" s="19">
        <v>28.0</v>
      </c>
      <c r="CD9" s="20">
        <v>18.0</v>
      </c>
    </row>
    <row r="10">
      <c r="A10" s="3" t="s">
        <v>39</v>
      </c>
      <c r="B10" s="3">
        <v>13.0</v>
      </c>
      <c r="C10" s="3">
        <v>14.0</v>
      </c>
      <c r="D10" s="3">
        <v>12.0</v>
      </c>
      <c r="E10" s="3">
        <v>16.0</v>
      </c>
      <c r="F10" s="3">
        <v>17.0</v>
      </c>
      <c r="G10" s="3">
        <v>17.0</v>
      </c>
      <c r="H10" s="3">
        <v>17.0</v>
      </c>
      <c r="I10" s="3">
        <v>17.0</v>
      </c>
      <c r="J10" s="3">
        <v>17.0</v>
      </c>
      <c r="K10" s="3">
        <v>20.0</v>
      </c>
      <c r="L10" s="3">
        <v>20.0</v>
      </c>
      <c r="M10" s="3">
        <v>22.0</v>
      </c>
      <c r="N10" s="3">
        <v>22.0</v>
      </c>
      <c r="O10" s="3">
        <v>19.0</v>
      </c>
      <c r="P10" s="3">
        <v>20.0</v>
      </c>
      <c r="Q10" s="3">
        <v>20.0</v>
      </c>
      <c r="R10" s="3">
        <v>19.0</v>
      </c>
      <c r="S10" s="3">
        <v>19.0</v>
      </c>
      <c r="T10" s="3">
        <v>19.0</v>
      </c>
      <c r="U10" s="3">
        <v>19.0</v>
      </c>
      <c r="V10" s="3">
        <v>19.0</v>
      </c>
      <c r="W10" s="3">
        <v>26.0</v>
      </c>
      <c r="X10" s="3">
        <v>26.0</v>
      </c>
      <c r="Y10" s="3">
        <v>34.0</v>
      </c>
      <c r="Z10" s="3">
        <v>39.0</v>
      </c>
      <c r="AA10" s="3">
        <v>39.0</v>
      </c>
      <c r="AB10" s="3">
        <v>37.0</v>
      </c>
      <c r="AC10" s="3">
        <v>32.0</v>
      </c>
      <c r="AD10" s="3">
        <v>30.0</v>
      </c>
      <c r="AE10" s="3">
        <v>35.0</v>
      </c>
      <c r="AF10" s="3">
        <v>39.0</v>
      </c>
      <c r="AG10" s="3">
        <v>29.0</v>
      </c>
      <c r="AH10" s="3">
        <v>26.0</v>
      </c>
      <c r="AI10" s="3">
        <v>26.0</v>
      </c>
      <c r="AJ10" s="3">
        <v>22.0</v>
      </c>
      <c r="AK10" s="3">
        <v>22.0</v>
      </c>
      <c r="AL10" s="3">
        <v>21.0</v>
      </c>
      <c r="AM10" s="9">
        <v>22.0</v>
      </c>
      <c r="AN10" s="9">
        <v>19.0</v>
      </c>
      <c r="AO10" s="9">
        <v>16.0</v>
      </c>
      <c r="AP10" s="9">
        <v>15.0</v>
      </c>
      <c r="AQ10" s="9">
        <v>12.0</v>
      </c>
      <c r="AR10" s="9">
        <v>17.0</v>
      </c>
      <c r="AS10" s="9">
        <v>18.0</v>
      </c>
      <c r="AT10" s="9">
        <v>13.0</v>
      </c>
      <c r="AU10" s="9">
        <v>17.0</v>
      </c>
      <c r="AV10" s="9">
        <v>16.0</v>
      </c>
      <c r="AW10" s="9">
        <v>16.0</v>
      </c>
      <c r="AX10" s="9">
        <v>12.0</v>
      </c>
      <c r="AY10" s="9">
        <v>13.0</v>
      </c>
      <c r="AZ10" s="9">
        <v>11.0</v>
      </c>
      <c r="BA10" s="9"/>
      <c r="BB10" s="9"/>
      <c r="BC10" s="9"/>
      <c r="BD10" s="9">
        <v>14.0</v>
      </c>
      <c r="BE10" s="9">
        <v>11.0</v>
      </c>
      <c r="BF10" s="9">
        <v>17.0</v>
      </c>
      <c r="BG10" s="9">
        <v>24.0</v>
      </c>
      <c r="BH10" s="9">
        <v>24.0</v>
      </c>
      <c r="BI10" s="9">
        <v>24.0</v>
      </c>
      <c r="BJ10" s="9">
        <v>22.0</v>
      </c>
      <c r="BK10" s="9">
        <v>22.0</v>
      </c>
      <c r="BL10" s="9">
        <v>22.0</v>
      </c>
      <c r="BM10" s="9">
        <v>22.0</v>
      </c>
      <c r="BN10" s="9">
        <v>22.0</v>
      </c>
      <c r="BO10" s="9">
        <v>21.0</v>
      </c>
      <c r="BP10" s="9">
        <v>20.0</v>
      </c>
      <c r="BQ10" s="11">
        <v>20.0</v>
      </c>
      <c r="BR10" s="11">
        <v>33.0</v>
      </c>
      <c r="BS10" s="11">
        <v>33.0</v>
      </c>
      <c r="BT10" s="11">
        <v>32.0</v>
      </c>
      <c r="BU10" s="11">
        <v>32.0</v>
      </c>
      <c r="BV10" s="11">
        <v>24.0</v>
      </c>
      <c r="BW10" s="11">
        <v>16.0</v>
      </c>
      <c r="BX10" s="11">
        <v>17.0</v>
      </c>
      <c r="BY10" s="11">
        <v>17.0</v>
      </c>
      <c r="BZ10" s="11">
        <v>17.0</v>
      </c>
      <c r="CA10" s="11">
        <v>17.0</v>
      </c>
      <c r="CB10" s="11">
        <v>14.0</v>
      </c>
      <c r="CC10" s="19">
        <v>14.0</v>
      </c>
      <c r="CD10" s="20">
        <v>14.0</v>
      </c>
    </row>
    <row r="11">
      <c r="A11" s="3" t="s">
        <v>42</v>
      </c>
      <c r="B11" s="3">
        <v>21.0</v>
      </c>
      <c r="C11" s="3">
        <v>18.0</v>
      </c>
      <c r="D11" s="3">
        <v>19.0</v>
      </c>
      <c r="E11" s="3">
        <v>18.0</v>
      </c>
      <c r="F11" s="3">
        <v>18.0</v>
      </c>
      <c r="G11" s="3">
        <v>21.0</v>
      </c>
      <c r="H11" s="3">
        <v>24.0</v>
      </c>
      <c r="I11" s="3">
        <v>22.0</v>
      </c>
      <c r="J11" s="3">
        <v>23.0</v>
      </c>
      <c r="K11" s="3">
        <v>26.0</v>
      </c>
      <c r="L11" s="3">
        <v>27.0</v>
      </c>
      <c r="M11" s="3">
        <v>33.0</v>
      </c>
      <c r="N11" s="3">
        <v>28.0</v>
      </c>
      <c r="O11" s="3">
        <v>29.0</v>
      </c>
      <c r="P11" s="3">
        <v>40.0</v>
      </c>
      <c r="Q11" s="3">
        <v>35.0</v>
      </c>
      <c r="R11" s="3">
        <v>40.0</v>
      </c>
      <c r="S11" s="3">
        <v>40.0</v>
      </c>
      <c r="T11" s="3">
        <v>39.0</v>
      </c>
      <c r="U11" s="3">
        <v>37.0</v>
      </c>
      <c r="V11" s="3">
        <v>40.0</v>
      </c>
      <c r="W11" s="3">
        <v>42.0</v>
      </c>
      <c r="X11" s="3">
        <v>40.0</v>
      </c>
      <c r="Y11" s="3">
        <v>39.0</v>
      </c>
      <c r="Z11" s="3">
        <v>50.0</v>
      </c>
      <c r="AA11" s="3">
        <v>53.0</v>
      </c>
      <c r="AB11" s="3">
        <v>46.0</v>
      </c>
      <c r="AC11" s="3">
        <v>49.0</v>
      </c>
      <c r="AD11" s="3">
        <v>53.0</v>
      </c>
      <c r="AE11" s="3">
        <v>63.0</v>
      </c>
      <c r="AF11" s="3">
        <v>66.0</v>
      </c>
      <c r="AG11" s="3">
        <v>63.0</v>
      </c>
      <c r="AH11" s="3">
        <v>61.0</v>
      </c>
      <c r="AI11" s="3">
        <v>64.0</v>
      </c>
      <c r="AJ11" s="3">
        <v>52.0</v>
      </c>
      <c r="AK11" s="3">
        <v>51.0</v>
      </c>
      <c r="AL11" s="3">
        <v>53.0</v>
      </c>
      <c r="AM11" s="9">
        <v>51.0</v>
      </c>
      <c r="AN11" s="9">
        <v>41.0</v>
      </c>
      <c r="AO11" s="9">
        <v>47.0</v>
      </c>
      <c r="AP11" s="9">
        <v>40.0</v>
      </c>
      <c r="AQ11" s="9">
        <v>38.0</v>
      </c>
      <c r="AR11" s="9">
        <v>47.0</v>
      </c>
      <c r="AS11" s="9">
        <v>44.0</v>
      </c>
      <c r="AT11" s="9">
        <v>38.0</v>
      </c>
      <c r="AU11" s="9">
        <v>38.0</v>
      </c>
      <c r="AV11" s="9">
        <v>35.0</v>
      </c>
      <c r="AW11" s="9">
        <v>34.0</v>
      </c>
      <c r="AX11" s="9">
        <v>38.0</v>
      </c>
      <c r="AY11" s="9">
        <v>38.0</v>
      </c>
      <c r="AZ11" s="9">
        <v>36.0</v>
      </c>
      <c r="BA11" s="9">
        <v>26.0</v>
      </c>
      <c r="BB11" s="9">
        <v>30.0</v>
      </c>
      <c r="BC11" s="9">
        <v>16.0</v>
      </c>
      <c r="BD11" s="9">
        <v>26.0</v>
      </c>
      <c r="BE11" s="9">
        <v>23.0</v>
      </c>
      <c r="BF11" s="9">
        <v>22.0</v>
      </c>
      <c r="BG11" s="9">
        <v>29.0</v>
      </c>
      <c r="BH11" s="9">
        <v>26.0</v>
      </c>
      <c r="BI11" s="9">
        <v>26.0</v>
      </c>
      <c r="BJ11" s="9">
        <v>26.0</v>
      </c>
      <c r="BK11" s="9">
        <v>26.0</v>
      </c>
      <c r="BL11" s="9">
        <v>27.0</v>
      </c>
      <c r="BM11" s="9">
        <v>27.0</v>
      </c>
      <c r="BN11" s="9">
        <v>26.0</v>
      </c>
      <c r="BO11" s="9">
        <v>32.0</v>
      </c>
      <c r="BP11" s="9">
        <v>33.0</v>
      </c>
      <c r="BQ11" s="11">
        <v>32.0</v>
      </c>
      <c r="BR11" s="11">
        <v>31.0</v>
      </c>
      <c r="BS11" s="11">
        <v>32.0</v>
      </c>
      <c r="BT11" s="11">
        <v>36.0</v>
      </c>
      <c r="BU11" s="11">
        <v>40.0</v>
      </c>
      <c r="BV11" s="11">
        <v>40.0</v>
      </c>
      <c r="BW11" s="11">
        <v>31.0</v>
      </c>
      <c r="BX11" s="11">
        <v>19.0</v>
      </c>
      <c r="BY11" s="11">
        <v>15.0</v>
      </c>
      <c r="BZ11" s="11">
        <v>15.0</v>
      </c>
      <c r="CA11" s="11">
        <v>11.0</v>
      </c>
      <c r="CB11" s="11"/>
      <c r="CC11" s="19">
        <v>11.0</v>
      </c>
      <c r="CD11" s="20">
        <v>11.0</v>
      </c>
    </row>
    <row r="12">
      <c r="A12" s="3" t="s">
        <v>45</v>
      </c>
      <c r="B12" s="3">
        <v>10.0</v>
      </c>
      <c r="C12" s="3">
        <v>10.0</v>
      </c>
      <c r="D12" s="3">
        <v>10.0</v>
      </c>
      <c r="E12" s="3">
        <v>10.0</v>
      </c>
      <c r="F12" s="3">
        <v>10.0</v>
      </c>
      <c r="G12" s="3">
        <v>10.0</v>
      </c>
      <c r="H12" s="3">
        <v>10.0</v>
      </c>
      <c r="I12" s="3">
        <v>10.0</v>
      </c>
      <c r="J12" s="3">
        <v>10.0</v>
      </c>
      <c r="K12" s="3">
        <v>10.0</v>
      </c>
      <c r="L12" s="3">
        <v>10.0</v>
      </c>
      <c r="M12" s="3">
        <v>10.0</v>
      </c>
      <c r="N12" s="3">
        <v>10.0</v>
      </c>
      <c r="O12" s="3">
        <v>10.0</v>
      </c>
      <c r="P12" s="3">
        <v>10.0</v>
      </c>
      <c r="R12" s="3">
        <v>10.0</v>
      </c>
      <c r="S12" s="3">
        <v>10.0</v>
      </c>
      <c r="T12" s="3">
        <v>10.0</v>
      </c>
      <c r="U12" s="3">
        <v>10.0</v>
      </c>
      <c r="V12" s="3">
        <v>10.0</v>
      </c>
      <c r="W12" s="3">
        <v>10.0</v>
      </c>
      <c r="X12" s="3">
        <v>10.0</v>
      </c>
      <c r="Y12" s="3">
        <v>10.0</v>
      </c>
      <c r="Z12" s="3">
        <v>10.0</v>
      </c>
      <c r="AA12" s="25"/>
      <c r="AB12" s="22">
        <v>10.0</v>
      </c>
      <c r="AC12" s="3">
        <v>10.0</v>
      </c>
      <c r="AD12" s="3">
        <v>10.0</v>
      </c>
      <c r="AG12" s="3">
        <v>10.0</v>
      </c>
      <c r="AH12" s="3">
        <v>10.0</v>
      </c>
      <c r="AI12" s="3">
        <v>10.0</v>
      </c>
      <c r="AJ12" s="3">
        <v>10.0</v>
      </c>
      <c r="AK12" s="3">
        <v>10.0</v>
      </c>
      <c r="AL12" s="3">
        <v>10.0</v>
      </c>
      <c r="AM12" s="9"/>
      <c r="AN12" s="9">
        <v>10.0</v>
      </c>
      <c r="AO12" s="9">
        <v>10.0</v>
      </c>
      <c r="AP12" s="9">
        <v>10.0</v>
      </c>
      <c r="AQ12" s="9">
        <v>10.0</v>
      </c>
      <c r="AR12" s="9">
        <v>10.0</v>
      </c>
      <c r="AS12" s="9">
        <v>10.0</v>
      </c>
      <c r="AT12" s="9">
        <v>10.0</v>
      </c>
      <c r="AU12" s="9">
        <v>10.0</v>
      </c>
      <c r="AV12" s="9">
        <v>10.0</v>
      </c>
      <c r="AW12" s="9">
        <v>10.0</v>
      </c>
      <c r="AX12" s="9">
        <v>10.0</v>
      </c>
      <c r="AY12" s="9">
        <v>10.0</v>
      </c>
      <c r="AZ12" s="9">
        <v>10.0</v>
      </c>
      <c r="BA12" s="9">
        <v>10.0</v>
      </c>
      <c r="BB12" s="9">
        <v>10.0</v>
      </c>
      <c r="BC12" s="9">
        <v>10.0</v>
      </c>
      <c r="BD12" s="9">
        <v>10.0</v>
      </c>
      <c r="BE12" s="9">
        <v>10.0</v>
      </c>
      <c r="BF12" s="9">
        <v>10.0</v>
      </c>
      <c r="BG12" s="9">
        <v>10.0</v>
      </c>
      <c r="BH12" s="9">
        <v>10.0</v>
      </c>
      <c r="BI12" s="9">
        <v>10.0</v>
      </c>
      <c r="BJ12" s="9">
        <v>10.0</v>
      </c>
      <c r="BK12" s="9">
        <v>10.0</v>
      </c>
      <c r="BL12" s="9">
        <v>10.0</v>
      </c>
      <c r="BM12" s="9">
        <v>10.0</v>
      </c>
      <c r="BN12" s="9">
        <v>10.0</v>
      </c>
      <c r="BO12" s="9">
        <v>10.0</v>
      </c>
      <c r="BP12" s="9">
        <v>10.0</v>
      </c>
      <c r="BQ12" s="11">
        <v>10.0</v>
      </c>
      <c r="BR12" s="11">
        <v>10.0</v>
      </c>
      <c r="BS12" s="11">
        <v>10.0</v>
      </c>
      <c r="BT12" s="11">
        <v>10.0</v>
      </c>
      <c r="BU12" s="11">
        <v>10.0</v>
      </c>
      <c r="BV12" s="11">
        <v>10.0</v>
      </c>
      <c r="BW12" s="11">
        <v>10.0</v>
      </c>
      <c r="BX12" s="11">
        <v>10.0</v>
      </c>
      <c r="BY12" s="11">
        <v>10.0</v>
      </c>
      <c r="BZ12" s="11">
        <v>10.0</v>
      </c>
      <c r="CA12" s="11">
        <v>10.0</v>
      </c>
      <c r="CB12" s="11">
        <v>10.0</v>
      </c>
      <c r="CC12" s="19">
        <v>10.0</v>
      </c>
      <c r="CD12" s="20">
        <v>10.0</v>
      </c>
    </row>
    <row r="13">
      <c r="A13" s="3" t="s">
        <v>50</v>
      </c>
      <c r="D13" s="14"/>
      <c r="Q13" s="3"/>
      <c r="R13" s="3"/>
      <c r="S13" s="3"/>
      <c r="T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>
        <v>12.0</v>
      </c>
      <c r="BK13" s="9">
        <v>13.0</v>
      </c>
      <c r="BL13" s="9">
        <v>12.0</v>
      </c>
      <c r="BM13" s="9">
        <v>12.0</v>
      </c>
      <c r="BN13" s="9">
        <v>12.0</v>
      </c>
      <c r="BO13" s="9">
        <v>11.0</v>
      </c>
      <c r="BP13" s="9">
        <v>12.0</v>
      </c>
      <c r="BQ13" s="11">
        <v>12.0</v>
      </c>
      <c r="BR13" s="11">
        <v>12.0</v>
      </c>
      <c r="BS13" s="11">
        <v>12.0</v>
      </c>
      <c r="BT13" s="11">
        <v>12.0</v>
      </c>
      <c r="BU13" s="11"/>
      <c r="BV13" s="11"/>
      <c r="BW13" s="11"/>
      <c r="BX13" s="11"/>
      <c r="BY13" s="11"/>
      <c r="BZ13" s="11"/>
      <c r="CA13" s="11"/>
      <c r="CB13" s="11"/>
      <c r="CC13" s="11"/>
      <c r="CD13" s="11"/>
    </row>
    <row r="14">
      <c r="A14" s="3" t="s">
        <v>53</v>
      </c>
      <c r="D14" s="14"/>
      <c r="Q14" s="3">
        <v>10.0</v>
      </c>
      <c r="R14" s="3">
        <v>10.0</v>
      </c>
      <c r="S14" s="3">
        <v>10.0</v>
      </c>
      <c r="T14" s="3">
        <v>10.0</v>
      </c>
      <c r="X14" s="3">
        <v>11.0</v>
      </c>
      <c r="Y14" s="3">
        <v>10.0</v>
      </c>
      <c r="Z14" s="3">
        <v>10.0</v>
      </c>
      <c r="AA14" s="3">
        <v>10.0</v>
      </c>
      <c r="AB14" s="3">
        <v>11.0</v>
      </c>
      <c r="AC14" s="3">
        <v>12.0</v>
      </c>
      <c r="AD14" s="3">
        <v>12.0</v>
      </c>
      <c r="AE14" s="3">
        <v>12.0</v>
      </c>
      <c r="AF14" s="3">
        <v>15.0</v>
      </c>
      <c r="AG14" s="3">
        <v>15.0</v>
      </c>
      <c r="AH14" s="3">
        <v>15.0</v>
      </c>
      <c r="AI14" s="3">
        <v>13.0</v>
      </c>
      <c r="AJ14" s="3">
        <v>13.0</v>
      </c>
      <c r="AK14" s="3">
        <v>14.0</v>
      </c>
      <c r="AL14" s="3">
        <v>15.0</v>
      </c>
      <c r="AM14" s="9">
        <v>15.0</v>
      </c>
      <c r="AN14" s="9">
        <v>16.0</v>
      </c>
      <c r="AO14" s="9">
        <v>17.0</v>
      </c>
      <c r="AP14" s="9">
        <v>17.0</v>
      </c>
      <c r="AQ14" s="9">
        <v>15.0</v>
      </c>
      <c r="AR14" s="9">
        <v>16.0</v>
      </c>
      <c r="AS14" s="9">
        <v>16.0</v>
      </c>
      <c r="AT14" s="9">
        <v>16.0</v>
      </c>
      <c r="AU14" s="9">
        <v>13.0</v>
      </c>
      <c r="AV14" s="9">
        <v>14.0</v>
      </c>
      <c r="AW14" s="9">
        <v>12.0</v>
      </c>
      <c r="AX14" s="9">
        <v>13.0</v>
      </c>
      <c r="AY14" s="9">
        <v>12.0</v>
      </c>
      <c r="AZ14" s="9">
        <v>12.0</v>
      </c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</row>
    <row r="15">
      <c r="A15" s="3" t="s">
        <v>54</v>
      </c>
      <c r="D15" s="14"/>
      <c r="S15" s="14"/>
      <c r="AE15" s="3">
        <v>13.0</v>
      </c>
      <c r="AF15" s="3">
        <v>15.0</v>
      </c>
      <c r="AG15" s="3">
        <v>15.0</v>
      </c>
      <c r="AH15" s="3">
        <v>15.0</v>
      </c>
      <c r="AI15" s="3">
        <v>14.0</v>
      </c>
      <c r="AJ15" s="3">
        <v>15.0</v>
      </c>
      <c r="AK15" s="3">
        <v>13.0</v>
      </c>
      <c r="AL15" s="3">
        <v>16.0</v>
      </c>
      <c r="AM15" s="9">
        <v>15.0</v>
      </c>
      <c r="AN15" s="9">
        <v>15.0</v>
      </c>
      <c r="AO15" s="9">
        <v>11.0</v>
      </c>
      <c r="AP15" s="9">
        <v>11.0</v>
      </c>
      <c r="AQ15" s="9">
        <v>10.0</v>
      </c>
      <c r="AR15" s="9">
        <v>11.0</v>
      </c>
      <c r="AS15" s="9">
        <v>12.0</v>
      </c>
      <c r="AT15" s="9">
        <v>11.0</v>
      </c>
      <c r="AU15" s="9">
        <v>13.0</v>
      </c>
      <c r="AV15" s="9">
        <v>13.0</v>
      </c>
      <c r="AW15" s="9">
        <v>12.0</v>
      </c>
      <c r="AX15" s="9">
        <v>11.0</v>
      </c>
      <c r="AY15" s="9">
        <v>11.0</v>
      </c>
      <c r="AZ15" s="9">
        <v>13.0</v>
      </c>
      <c r="BA15" s="9">
        <v>12.0</v>
      </c>
      <c r="BB15" s="9">
        <v>12.0</v>
      </c>
      <c r="BC15" s="9"/>
      <c r="BD15" s="9">
        <v>14.0</v>
      </c>
      <c r="BE15" s="9">
        <v>12.0</v>
      </c>
      <c r="BF15" s="9">
        <v>14.0</v>
      </c>
      <c r="BG15" s="9">
        <v>14.0</v>
      </c>
      <c r="BH15" s="9">
        <v>12.0</v>
      </c>
      <c r="BI15" s="9">
        <v>12.0</v>
      </c>
      <c r="BJ15" s="9">
        <v>15.0</v>
      </c>
      <c r="BK15" s="9">
        <v>16.0</v>
      </c>
      <c r="BL15" s="9">
        <v>19.0</v>
      </c>
      <c r="BM15" s="9">
        <v>18.0</v>
      </c>
      <c r="BN15" s="9">
        <v>18.0</v>
      </c>
      <c r="BO15" s="9">
        <v>17.0</v>
      </c>
      <c r="BP15" s="9">
        <v>16.0</v>
      </c>
      <c r="BQ15" s="11">
        <v>16.0</v>
      </c>
      <c r="BR15" s="11">
        <v>18.0</v>
      </c>
      <c r="BS15" s="11">
        <v>18.0</v>
      </c>
      <c r="BT15" s="11">
        <v>19.0</v>
      </c>
      <c r="BU15" s="11">
        <v>19.0</v>
      </c>
      <c r="BV15" s="11">
        <v>19.0</v>
      </c>
      <c r="BW15" s="11">
        <v>16.0</v>
      </c>
      <c r="BX15" s="11">
        <v>15.0</v>
      </c>
      <c r="BY15" s="11">
        <v>13.0</v>
      </c>
      <c r="BZ15" s="11">
        <v>11.0</v>
      </c>
      <c r="CA15" s="11"/>
      <c r="CB15" s="11"/>
      <c r="CC15" s="11"/>
      <c r="CD15" s="11"/>
    </row>
    <row r="16">
      <c r="A16" s="3" t="s">
        <v>56</v>
      </c>
      <c r="B16" s="3">
        <v>10.0</v>
      </c>
      <c r="C16" s="3">
        <v>10.0</v>
      </c>
      <c r="D16" s="14"/>
      <c r="S16" s="14"/>
      <c r="T16" s="3">
        <v>11.0</v>
      </c>
      <c r="U16" s="3">
        <v>11.0</v>
      </c>
      <c r="V16" s="3">
        <v>11.0</v>
      </c>
      <c r="W16" s="3">
        <v>10.0</v>
      </c>
      <c r="X16" s="3">
        <v>10.0</v>
      </c>
      <c r="Y16" s="3">
        <v>10.0</v>
      </c>
      <c r="AC16" s="3">
        <v>10.0</v>
      </c>
      <c r="AD16" s="3">
        <v>13.0</v>
      </c>
      <c r="AE16" s="3">
        <v>11.0</v>
      </c>
      <c r="AF16" s="3">
        <v>12.0</v>
      </c>
      <c r="AG16" s="3">
        <v>11.0</v>
      </c>
      <c r="AH16" s="3">
        <v>13.0</v>
      </c>
      <c r="AI16" s="3">
        <v>17.0</v>
      </c>
      <c r="AJ16" s="3">
        <v>17.0</v>
      </c>
      <c r="AK16" s="3">
        <v>15.0</v>
      </c>
      <c r="AL16" s="3">
        <v>15.0</v>
      </c>
      <c r="AM16" s="9">
        <v>12.0</v>
      </c>
      <c r="AN16" s="9">
        <v>10.0</v>
      </c>
      <c r="AO16" s="9">
        <v>12.0</v>
      </c>
      <c r="AP16" s="9">
        <v>13.0</v>
      </c>
      <c r="AQ16" s="9">
        <v>13.0</v>
      </c>
      <c r="AR16" s="9">
        <v>13.0</v>
      </c>
      <c r="AS16" s="9">
        <v>13.0</v>
      </c>
      <c r="AT16" s="9">
        <v>13.0</v>
      </c>
      <c r="AU16" s="9">
        <v>13.0</v>
      </c>
      <c r="AV16" s="9">
        <v>13.0</v>
      </c>
      <c r="AW16" s="9">
        <v>12.0</v>
      </c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</row>
    <row r="17">
      <c r="A17" s="3" t="s">
        <v>57</v>
      </c>
      <c r="B17" s="3">
        <v>10.0</v>
      </c>
      <c r="C17" s="3">
        <v>10.0</v>
      </c>
      <c r="D17" s="14"/>
      <c r="S17" s="14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3" t="s">
        <v>58</v>
      </c>
      <c r="C18" s="3">
        <v>11.0</v>
      </c>
      <c r="D18" s="3">
        <v>12.0</v>
      </c>
      <c r="E18" s="3">
        <v>11.0</v>
      </c>
      <c r="F18" s="3">
        <v>10.0</v>
      </c>
      <c r="G18" s="3">
        <v>10.0</v>
      </c>
      <c r="H18" s="3">
        <v>10.0</v>
      </c>
      <c r="I18" s="3">
        <v>10.0</v>
      </c>
      <c r="J18" s="3">
        <v>10.0</v>
      </c>
      <c r="K18" s="3">
        <v>10.0</v>
      </c>
      <c r="L18" s="3">
        <v>10.0</v>
      </c>
      <c r="S18" s="14"/>
      <c r="AF18" s="3">
        <v>10.0</v>
      </c>
      <c r="AG18" s="3">
        <v>10.0</v>
      </c>
      <c r="AH18" s="3">
        <v>13.0</v>
      </c>
      <c r="AI18" s="3">
        <v>11.0</v>
      </c>
      <c r="AJ18" s="3"/>
      <c r="AK18" s="3"/>
      <c r="AL18" s="3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>
        <v>14.0</v>
      </c>
      <c r="BC18" s="9">
        <v>11.0</v>
      </c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</row>
    <row r="19">
      <c r="A19" s="3" t="s">
        <v>59</v>
      </c>
      <c r="D19" s="14"/>
      <c r="Q19" s="3">
        <v>10.0</v>
      </c>
      <c r="R19" s="3">
        <v>10.0</v>
      </c>
      <c r="S19" s="3">
        <v>10.0</v>
      </c>
      <c r="T19" s="15"/>
      <c r="U19" s="25"/>
      <c r="V19" s="28"/>
      <c r="Y19" s="3">
        <v>10.0</v>
      </c>
      <c r="Z19" s="3">
        <v>10.0</v>
      </c>
      <c r="AA19" s="3">
        <v>16.0</v>
      </c>
      <c r="AB19" s="3">
        <v>16.0</v>
      </c>
      <c r="AC19" s="3">
        <v>16.0</v>
      </c>
      <c r="AD19" s="3">
        <v>19.0</v>
      </c>
      <c r="AE19" s="3">
        <v>22.0</v>
      </c>
      <c r="AF19" s="3">
        <v>25.0</v>
      </c>
      <c r="AG19" s="3">
        <v>22.0</v>
      </c>
      <c r="AH19" s="3">
        <v>29.0</v>
      </c>
      <c r="AI19" s="3">
        <v>22.0</v>
      </c>
      <c r="AJ19" s="3">
        <v>23.0</v>
      </c>
      <c r="AK19" s="3">
        <v>21.0</v>
      </c>
      <c r="AL19" s="3">
        <v>30.0</v>
      </c>
      <c r="AM19" s="9">
        <v>22.0</v>
      </c>
      <c r="AN19" s="9">
        <v>20.0</v>
      </c>
      <c r="AO19" s="9">
        <v>20.0</v>
      </c>
      <c r="AP19" s="9">
        <v>20.0</v>
      </c>
      <c r="AQ19" s="9">
        <v>20.0</v>
      </c>
      <c r="AR19" s="9">
        <v>18.0</v>
      </c>
      <c r="AS19" s="9">
        <v>17.0</v>
      </c>
      <c r="AT19" s="9">
        <v>16.0</v>
      </c>
      <c r="AU19" s="9">
        <v>16.0</v>
      </c>
      <c r="AV19" s="9">
        <v>15.0</v>
      </c>
      <c r="AW19" s="9">
        <v>15.0</v>
      </c>
      <c r="AX19" s="9">
        <v>15.0</v>
      </c>
      <c r="AY19" s="9">
        <v>15.0</v>
      </c>
      <c r="AZ19" s="9">
        <v>12.0</v>
      </c>
      <c r="BA19" s="9">
        <v>12.0</v>
      </c>
      <c r="BB19" s="9">
        <v>15.0</v>
      </c>
      <c r="BC19" s="9"/>
      <c r="BD19" s="9">
        <v>15.0</v>
      </c>
      <c r="BE19" s="9">
        <v>15.0</v>
      </c>
      <c r="BF19" s="9">
        <v>14.0</v>
      </c>
      <c r="BG19" s="9">
        <v>19.0</v>
      </c>
      <c r="BH19" s="9">
        <v>16.0</v>
      </c>
      <c r="BI19" s="9">
        <v>15.0</v>
      </c>
      <c r="BJ19" s="9">
        <v>15.0</v>
      </c>
      <c r="BK19" s="9">
        <v>15.0</v>
      </c>
      <c r="BL19" s="9">
        <v>15.0</v>
      </c>
      <c r="BM19" s="9">
        <v>16.0</v>
      </c>
      <c r="BN19" s="9">
        <v>16.0</v>
      </c>
      <c r="BO19" s="9">
        <v>16.0</v>
      </c>
      <c r="BP19" s="9">
        <v>16.0</v>
      </c>
      <c r="BQ19" s="11">
        <v>7.0</v>
      </c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</row>
    <row r="20">
      <c r="A20" s="3" t="s">
        <v>61</v>
      </c>
      <c r="D20" s="14"/>
      <c r="O20" s="3">
        <v>10.0</v>
      </c>
      <c r="P20" s="3">
        <v>12.0</v>
      </c>
      <c r="Q20" s="3">
        <v>12.0</v>
      </c>
      <c r="R20" s="3">
        <v>13.0</v>
      </c>
      <c r="S20" s="3">
        <v>13.0</v>
      </c>
      <c r="T20" s="3">
        <v>14.0</v>
      </c>
      <c r="U20" s="3">
        <v>14.0</v>
      </c>
      <c r="V20" s="3">
        <v>14.0</v>
      </c>
      <c r="W20" s="3">
        <v>16.0</v>
      </c>
      <c r="X20" s="3">
        <v>18.0</v>
      </c>
      <c r="Y20" s="3">
        <v>20.0</v>
      </c>
      <c r="Z20" s="3">
        <v>20.0</v>
      </c>
      <c r="AA20" s="3">
        <v>20.0</v>
      </c>
      <c r="AB20" s="3">
        <v>21.0</v>
      </c>
      <c r="AC20" s="3">
        <v>24.0</v>
      </c>
      <c r="AD20" s="3">
        <v>24.0</v>
      </c>
      <c r="AE20" s="3">
        <v>24.0</v>
      </c>
      <c r="AF20" s="3">
        <v>24.0</v>
      </c>
      <c r="AG20" s="3">
        <v>24.0</v>
      </c>
      <c r="AH20" s="3">
        <v>23.0</v>
      </c>
      <c r="AI20" s="3">
        <v>24.0</v>
      </c>
      <c r="AJ20" s="3">
        <v>22.0</v>
      </c>
      <c r="AK20" s="3">
        <v>18.0</v>
      </c>
      <c r="AL20" s="3">
        <v>16.0</v>
      </c>
      <c r="AM20" s="9">
        <v>16.0</v>
      </c>
      <c r="AN20" s="9">
        <v>16.0</v>
      </c>
      <c r="AO20" s="9">
        <v>16.0</v>
      </c>
      <c r="AP20" s="9">
        <v>16.0</v>
      </c>
      <c r="AQ20" s="9">
        <v>16.0</v>
      </c>
      <c r="AR20" s="9">
        <v>16.0</v>
      </c>
      <c r="AS20" s="9">
        <v>15.0</v>
      </c>
      <c r="AT20" s="9">
        <v>12.0</v>
      </c>
      <c r="AU20" s="9">
        <v>11.0</v>
      </c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</row>
    <row r="21">
      <c r="A21" s="3" t="s">
        <v>62</v>
      </c>
      <c r="B21" s="3">
        <v>18.0</v>
      </c>
      <c r="C21" s="3">
        <v>16.0</v>
      </c>
      <c r="D21" s="3">
        <v>18.0</v>
      </c>
      <c r="E21" s="3">
        <v>16.0</v>
      </c>
      <c r="F21" s="3">
        <v>16.0</v>
      </c>
      <c r="G21" s="3">
        <v>16.0</v>
      </c>
      <c r="H21" s="3">
        <v>16.0</v>
      </c>
      <c r="I21" s="3">
        <v>15.0</v>
      </c>
      <c r="J21" s="3">
        <v>15.0</v>
      </c>
      <c r="K21" s="3">
        <v>17.0</v>
      </c>
      <c r="L21" s="3">
        <v>18.0</v>
      </c>
      <c r="M21" s="3">
        <v>19.0</v>
      </c>
      <c r="N21" s="3">
        <v>19.0</v>
      </c>
      <c r="O21" s="3">
        <v>19.0</v>
      </c>
      <c r="P21" s="3">
        <v>14.0</v>
      </c>
      <c r="Q21" s="3">
        <v>17.0</v>
      </c>
      <c r="R21" s="3">
        <v>18.0</v>
      </c>
      <c r="S21" s="3">
        <v>18.0</v>
      </c>
      <c r="T21" s="3">
        <v>16.0</v>
      </c>
      <c r="U21" s="3">
        <v>15.0</v>
      </c>
      <c r="V21" s="3">
        <v>15.0</v>
      </c>
      <c r="W21" s="3">
        <v>16.0</v>
      </c>
      <c r="X21" s="3">
        <v>11.0</v>
      </c>
      <c r="Y21" s="3">
        <v>14.0</v>
      </c>
      <c r="Z21" s="3">
        <v>14.0</v>
      </c>
      <c r="AA21" s="3">
        <v>14.0</v>
      </c>
      <c r="AB21" s="3">
        <v>15.0</v>
      </c>
      <c r="AC21" s="3">
        <v>12.0</v>
      </c>
      <c r="AD21" s="3">
        <v>12.0</v>
      </c>
      <c r="AE21" s="3">
        <v>18.0</v>
      </c>
      <c r="AF21" s="3">
        <v>23.0</v>
      </c>
      <c r="AG21" s="3">
        <v>24.0</v>
      </c>
      <c r="AH21" s="3">
        <v>26.0</v>
      </c>
      <c r="AI21" s="3">
        <v>29.0</v>
      </c>
      <c r="AJ21" s="3">
        <v>29.0</v>
      </c>
      <c r="AK21" s="3">
        <v>29.0</v>
      </c>
      <c r="AL21" s="3">
        <v>30.0</v>
      </c>
      <c r="AM21" s="9">
        <v>32.0</v>
      </c>
      <c r="AN21" s="9">
        <v>27.0</v>
      </c>
      <c r="AO21" s="9">
        <v>34.0</v>
      </c>
      <c r="AP21" s="9">
        <v>34.0</v>
      </c>
      <c r="AQ21" s="9">
        <v>32.0</v>
      </c>
      <c r="AR21" s="9">
        <v>30.0</v>
      </c>
      <c r="AS21" s="9">
        <v>24.0</v>
      </c>
      <c r="AT21" s="9">
        <v>24.0</v>
      </c>
      <c r="AU21" s="9">
        <v>18.0</v>
      </c>
      <c r="AV21" s="9">
        <v>16.0</v>
      </c>
      <c r="AW21" s="9">
        <v>20.0</v>
      </c>
      <c r="AX21" s="9">
        <v>21.0</v>
      </c>
      <c r="AY21" s="9">
        <v>17.0</v>
      </c>
      <c r="AZ21" s="9">
        <v>21.0</v>
      </c>
      <c r="BA21" s="9">
        <v>21.0</v>
      </c>
      <c r="BB21" s="9">
        <v>24.0</v>
      </c>
      <c r="BC21" s="9">
        <v>21.0</v>
      </c>
      <c r="BD21" s="9">
        <v>26.0</v>
      </c>
      <c r="BE21" s="9">
        <v>20.0</v>
      </c>
      <c r="BF21" s="9">
        <v>23.0</v>
      </c>
      <c r="BG21" s="9">
        <v>35.0</v>
      </c>
      <c r="BH21" s="9">
        <v>35.0</v>
      </c>
      <c r="BI21" s="9">
        <v>35.0</v>
      </c>
      <c r="BJ21" s="9">
        <v>35.0</v>
      </c>
      <c r="BK21" s="9">
        <v>37.0</v>
      </c>
      <c r="BL21" s="9">
        <v>42.0</v>
      </c>
      <c r="BM21" s="9">
        <v>42.0</v>
      </c>
      <c r="BN21" s="9">
        <v>41.0</v>
      </c>
      <c r="BO21" s="9">
        <v>45.0</v>
      </c>
      <c r="BP21" s="9">
        <v>41.0</v>
      </c>
      <c r="BQ21" s="11">
        <v>38.0</v>
      </c>
      <c r="BR21" s="11">
        <v>36.0</v>
      </c>
      <c r="BS21" s="11">
        <v>36.0</v>
      </c>
      <c r="BT21" s="11">
        <v>26.0</v>
      </c>
      <c r="BU21" s="11">
        <v>31.0</v>
      </c>
      <c r="BV21" s="11">
        <v>20.0</v>
      </c>
      <c r="BW21" s="11">
        <v>20.0</v>
      </c>
      <c r="BX21" s="11">
        <v>11.0</v>
      </c>
      <c r="BY21" s="11"/>
      <c r="BZ21" s="11"/>
      <c r="CA21" s="11">
        <v>10.0</v>
      </c>
      <c r="CB21" s="11"/>
      <c r="CC21" s="11"/>
      <c r="CD21" s="11"/>
    </row>
    <row r="22">
      <c r="A22" s="3" t="s">
        <v>63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10.0</v>
      </c>
      <c r="AK22" s="3">
        <v>10.0</v>
      </c>
      <c r="AL22" s="3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11"/>
      <c r="BR22" s="11"/>
      <c r="BS22" s="11"/>
      <c r="BT22" s="11"/>
      <c r="BU22" s="11">
        <v>10.0</v>
      </c>
      <c r="BV22" s="11"/>
      <c r="BW22" s="11"/>
      <c r="BX22" s="11"/>
      <c r="BY22" s="11"/>
      <c r="BZ22" s="11"/>
      <c r="CA22" s="11"/>
      <c r="CB22" s="11"/>
      <c r="CC22" s="11"/>
      <c r="CD22" s="11"/>
    </row>
    <row r="23">
      <c r="A23" s="3" t="s">
        <v>65</v>
      </c>
      <c r="B23" s="3">
        <v>207.0</v>
      </c>
      <c r="C23" s="3">
        <v>50.0</v>
      </c>
      <c r="D23" s="3">
        <v>64.0</v>
      </c>
      <c r="E23" s="3">
        <v>46.0</v>
      </c>
      <c r="F23" s="3">
        <v>55.0</v>
      </c>
      <c r="G23" s="3">
        <v>55.0</v>
      </c>
      <c r="H23" s="3">
        <v>56.0</v>
      </c>
      <c r="I23" s="3">
        <v>53.0</v>
      </c>
      <c r="J23" s="3">
        <v>55.0</v>
      </c>
      <c r="K23" s="3">
        <v>55.0</v>
      </c>
      <c r="L23" s="3">
        <v>49.0</v>
      </c>
      <c r="M23" s="3">
        <v>47.0</v>
      </c>
      <c r="N23" s="3">
        <v>48.0</v>
      </c>
      <c r="O23" s="3">
        <v>49.0</v>
      </c>
      <c r="P23" s="3">
        <v>49.0</v>
      </c>
      <c r="Q23" s="3">
        <v>45.0</v>
      </c>
      <c r="R23" s="3">
        <v>40.0</v>
      </c>
      <c r="S23" s="3">
        <v>40.0</v>
      </c>
      <c r="T23" s="3">
        <v>40.0</v>
      </c>
      <c r="U23" s="3">
        <v>41.0</v>
      </c>
      <c r="V23" s="3">
        <v>41.0</v>
      </c>
      <c r="W23" s="3">
        <v>39.0</v>
      </c>
      <c r="X23" s="3">
        <v>37.0</v>
      </c>
      <c r="Y23" s="3">
        <v>40.0</v>
      </c>
      <c r="Z23" s="3">
        <v>41.0</v>
      </c>
      <c r="AA23" s="3">
        <v>33.0</v>
      </c>
      <c r="AB23" s="3">
        <v>34.0</v>
      </c>
      <c r="AC23" s="3">
        <v>36.0</v>
      </c>
      <c r="AD23" s="3">
        <v>33.0</v>
      </c>
      <c r="AE23" s="3">
        <v>31.0</v>
      </c>
      <c r="AF23" s="3">
        <v>31.0</v>
      </c>
      <c r="AG23" s="3">
        <v>33.0</v>
      </c>
      <c r="AH23" s="3">
        <v>34.0</v>
      </c>
      <c r="AI23" s="3">
        <v>30.0</v>
      </c>
      <c r="AJ23" s="3">
        <v>28.0</v>
      </c>
      <c r="AK23" s="3">
        <v>28.0</v>
      </c>
      <c r="AL23" s="3">
        <v>28.0</v>
      </c>
      <c r="AM23" s="9">
        <v>26.0</v>
      </c>
      <c r="AN23" s="9">
        <v>25.0</v>
      </c>
      <c r="AO23" s="9">
        <v>23.0</v>
      </c>
      <c r="AP23" s="9">
        <v>23.0</v>
      </c>
      <c r="AQ23" s="9">
        <v>21.0</v>
      </c>
      <c r="AR23" s="9">
        <v>20.0</v>
      </c>
      <c r="AS23" s="9">
        <v>19.0</v>
      </c>
      <c r="AT23" s="9">
        <v>18.0</v>
      </c>
      <c r="AU23" s="9">
        <v>19.0</v>
      </c>
      <c r="AV23" s="9">
        <v>19.0</v>
      </c>
      <c r="AW23" s="9">
        <v>23.0</v>
      </c>
      <c r="AX23" s="9">
        <v>24.0</v>
      </c>
      <c r="AY23" s="9">
        <v>24.0</v>
      </c>
      <c r="AZ23" s="9">
        <v>20.0</v>
      </c>
      <c r="BA23" s="9">
        <v>19.0</v>
      </c>
      <c r="BB23" s="9">
        <v>24.0</v>
      </c>
      <c r="BC23" s="9">
        <v>14.0</v>
      </c>
      <c r="BD23" s="9">
        <v>25.0</v>
      </c>
      <c r="BE23" s="9">
        <v>23.0</v>
      </c>
      <c r="BF23" s="9">
        <v>24.0</v>
      </c>
      <c r="BG23" s="9">
        <v>25.0</v>
      </c>
      <c r="BH23" s="9">
        <v>23.0</v>
      </c>
      <c r="BI23" s="9">
        <v>24.0</v>
      </c>
      <c r="BJ23" s="9">
        <v>26.0</v>
      </c>
      <c r="BK23" s="9">
        <v>24.0</v>
      </c>
      <c r="BL23" s="9">
        <v>24.0</v>
      </c>
      <c r="BM23" s="9">
        <v>24.0</v>
      </c>
      <c r="BN23" s="9">
        <v>24.0</v>
      </c>
      <c r="BO23" s="9">
        <v>24.0</v>
      </c>
      <c r="BP23" s="9">
        <v>22.0</v>
      </c>
      <c r="BQ23" s="11">
        <v>21.0</v>
      </c>
      <c r="BR23" s="11">
        <v>26.0</v>
      </c>
      <c r="BS23" s="11">
        <v>27.0</v>
      </c>
      <c r="BT23" s="11">
        <v>25.0</v>
      </c>
      <c r="BU23" s="11">
        <v>21.0</v>
      </c>
      <c r="BV23" s="11">
        <v>13.0</v>
      </c>
      <c r="BW23" s="11">
        <v>14.0</v>
      </c>
      <c r="BX23" s="11">
        <v>13.0</v>
      </c>
      <c r="BY23" s="11">
        <v>10.0</v>
      </c>
      <c r="BZ23" s="11"/>
      <c r="CA23" s="11"/>
      <c r="CB23" s="11"/>
      <c r="CC23" s="11"/>
      <c r="CD23" s="11"/>
    </row>
    <row r="24">
      <c r="A24" s="3" t="s">
        <v>67</v>
      </c>
      <c r="B24" s="3">
        <v>11.0</v>
      </c>
      <c r="C24" s="3">
        <v>11.0</v>
      </c>
      <c r="D24" s="14"/>
      <c r="E24" s="14"/>
      <c r="F24" s="14"/>
      <c r="T24" s="30"/>
      <c r="U24" s="25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3" t="s">
        <v>68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22"/>
      <c r="AI25" s="32"/>
      <c r="AJ25" s="32"/>
      <c r="AK25" s="32"/>
      <c r="AL25" s="32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4">
        <v>20.0</v>
      </c>
      <c r="BR25" s="34">
        <v>20.0</v>
      </c>
      <c r="BS25" s="34">
        <v>19.0</v>
      </c>
      <c r="BT25" s="34">
        <v>19.0</v>
      </c>
      <c r="BU25" s="34">
        <v>18.0</v>
      </c>
      <c r="BV25" s="34">
        <v>17.0</v>
      </c>
      <c r="BW25" s="34">
        <v>13.0</v>
      </c>
      <c r="BX25" s="34">
        <v>12.0</v>
      </c>
      <c r="BY25" s="34">
        <v>11.0</v>
      </c>
      <c r="BZ25" s="34">
        <v>11.0</v>
      </c>
      <c r="CA25" s="34"/>
      <c r="CB25" s="34"/>
      <c r="CC25" s="34"/>
      <c r="CD25" s="34"/>
    </row>
    <row r="26">
      <c r="A26" s="3" t="s">
        <v>70</v>
      </c>
      <c r="B26" s="3">
        <v>3044.0</v>
      </c>
      <c r="C26" s="3">
        <v>1249.0</v>
      </c>
      <c r="D26" s="3">
        <v>1315.0</v>
      </c>
      <c r="E26" s="3">
        <v>1363.0</v>
      </c>
      <c r="F26" s="3">
        <v>1419.0</v>
      </c>
      <c r="G26" s="3">
        <v>1456.0</v>
      </c>
      <c r="H26" s="3">
        <v>1472.0</v>
      </c>
      <c r="I26" s="3">
        <v>1506.0</v>
      </c>
      <c r="J26" s="3">
        <v>1526.0</v>
      </c>
      <c r="K26" s="3">
        <v>1574.0</v>
      </c>
      <c r="L26" s="3">
        <v>1592.0</v>
      </c>
      <c r="M26" s="3">
        <v>1689.0</v>
      </c>
      <c r="N26" s="3">
        <v>1664.0</v>
      </c>
      <c r="O26" s="3">
        <v>1888.0</v>
      </c>
      <c r="P26" s="3">
        <v>2085.0</v>
      </c>
      <c r="R26" s="15">
        <v>2215.0</v>
      </c>
      <c r="S26" s="15">
        <v>2215.0</v>
      </c>
      <c r="T26" s="15">
        <v>2216.0</v>
      </c>
      <c r="U26" s="15">
        <v>2325.0</v>
      </c>
      <c r="V26" s="15">
        <v>2432.0</v>
      </c>
      <c r="W26" s="15">
        <v>2569.0</v>
      </c>
      <c r="X26" s="15">
        <v>2490.0</v>
      </c>
      <c r="Y26" s="15">
        <v>2444.0</v>
      </c>
      <c r="Z26" s="15">
        <v>2693.0</v>
      </c>
      <c r="AA26" s="15">
        <v>2819.0</v>
      </c>
      <c r="AB26" s="15">
        <v>3052.0</v>
      </c>
      <c r="AC26" s="15">
        <v>3360.0</v>
      </c>
      <c r="AD26" s="15">
        <v>3603.0</v>
      </c>
      <c r="AE26" s="15">
        <v>3316.0</v>
      </c>
      <c r="AF26" s="15">
        <v>2727.0</v>
      </c>
      <c r="AG26" s="15">
        <v>2568.0</v>
      </c>
      <c r="AH26" s="22">
        <v>2568.0</v>
      </c>
      <c r="AI26" s="32">
        <v>1446.0</v>
      </c>
      <c r="AJ26" s="32">
        <v>1266.0</v>
      </c>
      <c r="AK26" s="32">
        <v>1175.0</v>
      </c>
      <c r="AL26" s="32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</row>
    <row r="27">
      <c r="D27" s="35"/>
      <c r="E27" s="14"/>
      <c r="F27" s="14"/>
      <c r="J27" s="14"/>
      <c r="T27" s="36"/>
      <c r="U27" s="25"/>
      <c r="V27" s="28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</row>
    <row r="28">
      <c r="D28" s="14"/>
      <c r="E28" s="14"/>
      <c r="F28" s="14"/>
      <c r="J28" s="14"/>
      <c r="T28" s="36"/>
      <c r="U28" s="25"/>
      <c r="V28" s="28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</row>
    <row r="29">
      <c r="E29" s="14"/>
      <c r="F29" s="14"/>
      <c r="J29" s="14"/>
      <c r="T29" s="36"/>
      <c r="U29" s="25"/>
      <c r="V29" s="28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</row>
    <row r="30">
      <c r="E30" s="14"/>
      <c r="F30" s="14"/>
      <c r="J30" s="14"/>
      <c r="T30" s="14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</row>
    <row r="31">
      <c r="E31" s="14"/>
      <c r="F31" s="14"/>
      <c r="J31" s="14"/>
      <c r="T31" s="14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</row>
    <row r="32">
      <c r="E32" s="14"/>
      <c r="F32" s="14"/>
      <c r="J32" s="14"/>
      <c r="T32" s="14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</row>
    <row r="33">
      <c r="E33" s="14"/>
      <c r="F33" s="14"/>
      <c r="J33" s="14"/>
      <c r="T33" s="14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</row>
    <row r="34">
      <c r="E34" s="14"/>
      <c r="F34" s="14"/>
      <c r="J34" s="14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</row>
    <row r="35">
      <c r="E35" s="14"/>
      <c r="F35" s="14"/>
      <c r="J35" s="14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</row>
    <row r="36">
      <c r="E36" s="14"/>
      <c r="F36" s="14"/>
      <c r="J36" s="14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</row>
    <row r="37">
      <c r="E37" s="14"/>
      <c r="F37" s="14"/>
      <c r="J37" s="14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</row>
    <row r="38">
      <c r="F38" s="14"/>
      <c r="J38" s="14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</row>
    <row r="39">
      <c r="F39" s="14"/>
      <c r="J39" s="14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</row>
    <row r="40">
      <c r="F40" s="14"/>
      <c r="J40" s="14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</row>
    <row r="41">
      <c r="F41" s="14"/>
      <c r="J41" s="14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</row>
    <row r="42">
      <c r="F42" s="14"/>
      <c r="J42" s="14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</row>
    <row r="43">
      <c r="F43" s="14"/>
      <c r="J43" s="14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</row>
    <row r="44">
      <c r="F44" s="14"/>
      <c r="J44" s="14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</row>
    <row r="45">
      <c r="F45" s="14"/>
      <c r="J45" s="14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</row>
    <row r="46">
      <c r="F46" s="14"/>
      <c r="J46" s="14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</row>
    <row r="47">
      <c r="F47" s="14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</row>
    <row r="48">
      <c r="F48" s="14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</row>
    <row r="49">
      <c r="F49" s="14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</row>
    <row r="50">
      <c r="F50" s="14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</row>
    <row r="51">
      <c r="F51" s="14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</row>
    <row r="52">
      <c r="F52" s="14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</row>
    <row r="53">
      <c r="F53" s="14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</row>
    <row r="54">
      <c r="F54" s="14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</row>
    <row r="55">
      <c r="F55" s="14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</row>
    <row r="56">
      <c r="F56" s="14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</row>
    <row r="57">
      <c r="F57" s="14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</row>
    <row r="58"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</row>
    <row r="59"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</row>
    <row r="60"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</row>
    <row r="61"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</row>
    <row r="62"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</row>
    <row r="63"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</row>
    <row r="64"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</row>
    <row r="65"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</row>
    <row r="66"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</row>
    <row r="67"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</row>
    <row r="68"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</row>
    <row r="69"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</row>
    <row r="70"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</row>
    <row r="71"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</row>
    <row r="72"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</row>
    <row r="73"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</row>
    <row r="74"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</row>
    <row r="75"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</row>
    <row r="76"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</row>
    <row r="77"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</row>
    <row r="78"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</row>
    <row r="79"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</row>
    <row r="80"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</row>
    <row r="81"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</row>
    <row r="82"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</row>
    <row r="83"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</row>
    <row r="84"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</row>
    <row r="85"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</row>
    <row r="86"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</row>
    <row r="87"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</row>
    <row r="88"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</row>
    <row r="89"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</row>
    <row r="90"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</row>
    <row r="91"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</row>
    <row r="92"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</row>
    <row r="93"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</row>
    <row r="94"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</row>
    <row r="95"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</row>
    <row r="96"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</row>
    <row r="97"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</row>
    <row r="98"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</row>
    <row r="99"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</row>
    <row r="100"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</row>
    <row r="101"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</row>
    <row r="102"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</row>
    <row r="103"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</row>
    <row r="104"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</row>
    <row r="105"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</row>
    <row r="106"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</row>
    <row r="107"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</row>
    <row r="108"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</row>
    <row r="109"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</row>
    <row r="110"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</row>
    <row r="111"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</row>
    <row r="112"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</row>
    <row r="113"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</row>
    <row r="114"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</row>
    <row r="115"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</row>
    <row r="116"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</row>
    <row r="117"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</row>
    <row r="118"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</row>
    <row r="119"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</row>
    <row r="120"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</row>
    <row r="121"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</row>
    <row r="122"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</row>
    <row r="123"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</row>
    <row r="124"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</row>
    <row r="125"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</row>
    <row r="126"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</row>
    <row r="127"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</row>
    <row r="128"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</row>
    <row r="129"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</row>
    <row r="130"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</row>
    <row r="131"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</row>
    <row r="132"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</row>
    <row r="133"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</row>
    <row r="134"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</row>
    <row r="135"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</row>
    <row r="136"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</row>
    <row r="137"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</row>
    <row r="138"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</row>
    <row r="139"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</row>
    <row r="140"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</row>
    <row r="141"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</row>
    <row r="142"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</row>
    <row r="143"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</row>
    <row r="144"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</row>
    <row r="145"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</row>
    <row r="146"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</row>
    <row r="147"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</row>
    <row r="148"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</row>
    <row r="149"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</row>
    <row r="150"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</row>
    <row r="151"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</row>
    <row r="152"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</row>
    <row r="153"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</row>
    <row r="154"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</row>
    <row r="155"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</row>
    <row r="156"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</row>
    <row r="157"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</row>
    <row r="158"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</row>
    <row r="159"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</row>
    <row r="160"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</row>
    <row r="161"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</row>
    <row r="162"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</row>
    <row r="163"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</row>
    <row r="164"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</row>
    <row r="165"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</row>
    <row r="166"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</row>
    <row r="167"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</row>
    <row r="168"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</row>
    <row r="169"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</row>
    <row r="170"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</row>
    <row r="171"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</row>
    <row r="172"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</row>
    <row r="173"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</row>
    <row r="174"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</row>
    <row r="175"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</row>
    <row r="176"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</row>
    <row r="177"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</row>
    <row r="178"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</row>
    <row r="179"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</row>
    <row r="180"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</row>
    <row r="181"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</row>
    <row r="182"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</row>
    <row r="183"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</row>
    <row r="184"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</row>
    <row r="185"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</row>
    <row r="186"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</row>
    <row r="187"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</row>
    <row r="188"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</row>
    <row r="189"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</row>
    <row r="190"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</row>
    <row r="191"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</row>
    <row r="192"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</row>
    <row r="193"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</row>
    <row r="194"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</row>
    <row r="195"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</row>
    <row r="196"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</row>
    <row r="197"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</row>
    <row r="198"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</row>
    <row r="199"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</row>
    <row r="200"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</row>
    <row r="201"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</row>
    <row r="202"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</row>
    <row r="203"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</row>
    <row r="204"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</row>
    <row r="205"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</row>
    <row r="206"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</row>
    <row r="207"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</row>
    <row r="208"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</row>
    <row r="209"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</row>
    <row r="210"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</row>
    <row r="211"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</row>
    <row r="212"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</row>
    <row r="213"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</row>
    <row r="214"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</row>
    <row r="215"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</row>
    <row r="216"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</row>
    <row r="217"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</row>
    <row r="218"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</row>
    <row r="219"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</row>
    <row r="220"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</row>
    <row r="221"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</row>
    <row r="222"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</row>
    <row r="223"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</row>
    <row r="224"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</row>
    <row r="225"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</row>
    <row r="226"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</row>
    <row r="227"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</row>
    <row r="228"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</row>
    <row r="229"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</row>
    <row r="230"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</row>
    <row r="231"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</row>
    <row r="232"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</row>
    <row r="233"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</row>
    <row r="234"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</row>
    <row r="235"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</row>
    <row r="236"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</row>
    <row r="237"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</row>
    <row r="238"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</row>
    <row r="239"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</row>
    <row r="240"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</row>
    <row r="241"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</row>
    <row r="242"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</row>
    <row r="243"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</row>
    <row r="244"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</row>
    <row r="245"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</row>
    <row r="246"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</row>
    <row r="247"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</row>
    <row r="248"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</row>
    <row r="249"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</row>
    <row r="250"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</row>
    <row r="251"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</row>
    <row r="252"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</row>
    <row r="253"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</row>
    <row r="254"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</row>
    <row r="255"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</row>
    <row r="256"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</row>
    <row r="257"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</row>
    <row r="258"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</row>
    <row r="259"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</row>
    <row r="260"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</row>
    <row r="261"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</row>
    <row r="262"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</row>
    <row r="263"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</row>
    <row r="264"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</row>
    <row r="265"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</row>
    <row r="266"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</row>
    <row r="267"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</row>
    <row r="268"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</row>
    <row r="269"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</row>
    <row r="270"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</row>
    <row r="271"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</row>
    <row r="272"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</row>
    <row r="273"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</row>
    <row r="274"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</row>
    <row r="275"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</row>
    <row r="276"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</row>
    <row r="277"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</row>
    <row r="278"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</row>
    <row r="279"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</row>
    <row r="280"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</row>
    <row r="281"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</row>
    <row r="282"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</row>
    <row r="283"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</row>
    <row r="284"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</row>
    <row r="285"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</row>
    <row r="286"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</row>
    <row r="287"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</row>
    <row r="288"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</row>
    <row r="289"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</row>
    <row r="290"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</row>
    <row r="291"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</row>
    <row r="292"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</row>
    <row r="293"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</row>
    <row r="294"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</row>
    <row r="295"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</row>
    <row r="296"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</row>
    <row r="297"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</row>
    <row r="298"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</row>
    <row r="299"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</row>
    <row r="300"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</row>
    <row r="301"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</row>
    <row r="302"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</row>
    <row r="303"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</row>
    <row r="304"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</row>
    <row r="305"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</row>
    <row r="306"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</row>
    <row r="307"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</row>
    <row r="308"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</row>
    <row r="309"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</row>
    <row r="310"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</row>
    <row r="311"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</row>
    <row r="312"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</row>
    <row r="313"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</row>
    <row r="314"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</row>
    <row r="315"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</row>
    <row r="316"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</row>
    <row r="317"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</row>
    <row r="318"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</row>
    <row r="319"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</row>
    <row r="320"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</row>
    <row r="321"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</row>
    <row r="322"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</row>
    <row r="323"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</row>
    <row r="324"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</row>
    <row r="325"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</row>
    <row r="326"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</row>
    <row r="327"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</row>
    <row r="328"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</row>
    <row r="329"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</row>
    <row r="330"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</row>
    <row r="331"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</row>
    <row r="332"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</row>
    <row r="333"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</row>
    <row r="334"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</row>
    <row r="335"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</row>
    <row r="336"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</row>
    <row r="337"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</row>
    <row r="338"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</row>
    <row r="339"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</row>
    <row r="340"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</row>
    <row r="341"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</row>
    <row r="342"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</row>
    <row r="343"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</row>
    <row r="344"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</row>
    <row r="345"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</row>
    <row r="346"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</row>
    <row r="347"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</row>
    <row r="348"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</row>
    <row r="349"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</row>
    <row r="350"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</row>
    <row r="351"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</row>
    <row r="352"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</row>
    <row r="353"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</row>
    <row r="354"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</row>
    <row r="355"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</row>
    <row r="356"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</row>
    <row r="357"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</row>
    <row r="358"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</row>
    <row r="359"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</row>
    <row r="360"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</row>
    <row r="361"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</row>
    <row r="362"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</row>
    <row r="363"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</row>
    <row r="364"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</row>
    <row r="365"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</row>
    <row r="366"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</row>
    <row r="367"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</row>
    <row r="368"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</row>
    <row r="369"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</row>
    <row r="370"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</row>
    <row r="371"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</row>
    <row r="372"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</row>
    <row r="373"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</row>
    <row r="374"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</row>
    <row r="375"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</row>
    <row r="376"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</row>
    <row r="377"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</row>
    <row r="378"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</row>
    <row r="379"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</row>
    <row r="380"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</row>
    <row r="381"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</row>
    <row r="382"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</row>
    <row r="383"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</row>
    <row r="384"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</row>
    <row r="385"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</row>
    <row r="386"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</row>
    <row r="387"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</row>
    <row r="388"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</row>
    <row r="389"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</row>
    <row r="390"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</row>
    <row r="391"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</row>
    <row r="392"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</row>
    <row r="393"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</row>
    <row r="394"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</row>
    <row r="395"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</row>
    <row r="396"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</row>
    <row r="397"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</row>
    <row r="398"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</row>
    <row r="399"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</row>
    <row r="400"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</row>
    <row r="401"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</row>
    <row r="402"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</row>
    <row r="403"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</row>
    <row r="404"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</row>
    <row r="405"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</row>
    <row r="406"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</row>
    <row r="407"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</row>
    <row r="408"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</row>
    <row r="409"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</row>
    <row r="410"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</row>
    <row r="411"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</row>
    <row r="412"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</row>
    <row r="413"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</row>
    <row r="414"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</row>
    <row r="415"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</row>
    <row r="416"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</row>
    <row r="417"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</row>
    <row r="418"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</row>
    <row r="419"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</row>
    <row r="420"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</row>
    <row r="421"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</row>
    <row r="422"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</row>
    <row r="423"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</row>
    <row r="424"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</row>
    <row r="425"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</row>
    <row r="426"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</row>
    <row r="427"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</row>
    <row r="428"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</row>
    <row r="429"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</row>
    <row r="430"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</row>
    <row r="431"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</row>
    <row r="432"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</row>
    <row r="433"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</row>
    <row r="434"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</row>
    <row r="435"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</row>
    <row r="436"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</row>
    <row r="437"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</row>
    <row r="438"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</row>
    <row r="439"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</row>
    <row r="440"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</row>
    <row r="441"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</row>
    <row r="442"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</row>
    <row r="443"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</row>
    <row r="444"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</row>
    <row r="445"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</row>
    <row r="446"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</row>
    <row r="447"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</row>
    <row r="448"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</row>
    <row r="449"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</row>
    <row r="450"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</row>
    <row r="451"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</row>
    <row r="452"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</row>
    <row r="453"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</row>
    <row r="454"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</row>
    <row r="455"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</row>
    <row r="456"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</row>
    <row r="457"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</row>
    <row r="458"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</row>
    <row r="459"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</row>
    <row r="460"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</row>
    <row r="461"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</row>
    <row r="462"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</row>
    <row r="463"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</row>
    <row r="464"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</row>
    <row r="465"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</row>
    <row r="466"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</row>
    <row r="467"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</row>
    <row r="468"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</row>
    <row r="469"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</row>
    <row r="470"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</row>
    <row r="471"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</row>
    <row r="472"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</row>
    <row r="473"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</row>
    <row r="474"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</row>
    <row r="475"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</row>
    <row r="476"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</row>
    <row r="477"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</row>
    <row r="478"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</row>
    <row r="479"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</row>
    <row r="480"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</row>
    <row r="481"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</row>
    <row r="482"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</row>
    <row r="483"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</row>
    <row r="484"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</row>
    <row r="485"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</row>
    <row r="486"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</row>
    <row r="487"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</row>
    <row r="488"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</row>
    <row r="489"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</row>
    <row r="490"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</row>
    <row r="491"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</row>
    <row r="492"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</row>
    <row r="493"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</row>
    <row r="494"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</row>
    <row r="495"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</row>
    <row r="496"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</row>
    <row r="497"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</row>
    <row r="498"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</row>
    <row r="499"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</row>
    <row r="500"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</row>
    <row r="501"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</row>
    <row r="502"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</row>
    <row r="503"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</row>
    <row r="504"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</row>
    <row r="505"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</row>
    <row r="506"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</row>
    <row r="507"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</row>
    <row r="508"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</row>
    <row r="509"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</row>
    <row r="510"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</row>
    <row r="511"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</row>
    <row r="512"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</row>
    <row r="513"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</row>
    <row r="514"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</row>
    <row r="515"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</row>
    <row r="516"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</row>
    <row r="517"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</row>
    <row r="518"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</row>
    <row r="519"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</row>
    <row r="520"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</row>
    <row r="521"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</row>
    <row r="522"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</row>
    <row r="523"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</row>
    <row r="524"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</row>
    <row r="525"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</row>
    <row r="526"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</row>
    <row r="527"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</row>
    <row r="528"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</row>
    <row r="529"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</row>
    <row r="530"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</row>
    <row r="531"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</row>
    <row r="532"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</row>
    <row r="533"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</row>
    <row r="534"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</row>
    <row r="535"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</row>
    <row r="536"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</row>
    <row r="537"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</row>
    <row r="538"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</row>
    <row r="539"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</row>
    <row r="540"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</row>
    <row r="541"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</row>
    <row r="542"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</row>
    <row r="543"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</row>
    <row r="544"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</row>
    <row r="545"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</row>
    <row r="546"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</row>
    <row r="547"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</row>
    <row r="548"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</row>
    <row r="549"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</row>
    <row r="550"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</row>
    <row r="551"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</row>
    <row r="552"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</row>
    <row r="553"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</row>
    <row r="554"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</row>
    <row r="555"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</row>
    <row r="556"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</row>
    <row r="557"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</row>
    <row r="558"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</row>
    <row r="559"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</row>
    <row r="560"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</row>
    <row r="561"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</row>
    <row r="562"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</row>
    <row r="563"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</row>
    <row r="564"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</row>
    <row r="565"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</row>
    <row r="566"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</row>
    <row r="567"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</row>
    <row r="568"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</row>
    <row r="569"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</row>
    <row r="570"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</row>
    <row r="571"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</row>
    <row r="572"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</row>
    <row r="573"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</row>
    <row r="574"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</row>
    <row r="575"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</row>
    <row r="576"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</row>
    <row r="577"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</row>
    <row r="578"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</row>
    <row r="579"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</row>
    <row r="580"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</row>
    <row r="581"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</row>
    <row r="582"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</row>
    <row r="583"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</row>
    <row r="584"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</row>
    <row r="585"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</row>
    <row r="586"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</row>
    <row r="587"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</row>
    <row r="588"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</row>
    <row r="589"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</row>
    <row r="590"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</row>
    <row r="591"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</row>
    <row r="592"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</row>
    <row r="593"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</row>
    <row r="594"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</row>
    <row r="595"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</row>
    <row r="596"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</row>
    <row r="597"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</row>
    <row r="598"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</row>
    <row r="599"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</row>
    <row r="600"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</row>
    <row r="601"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</row>
    <row r="602"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</row>
    <row r="603"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</row>
    <row r="604"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</row>
    <row r="605"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</row>
    <row r="606"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</row>
    <row r="607"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</row>
    <row r="608"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</row>
    <row r="609"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</row>
    <row r="610"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</row>
    <row r="611"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</row>
    <row r="612"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</row>
    <row r="613"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</row>
    <row r="614"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</row>
    <row r="615"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</row>
    <row r="616"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</row>
    <row r="617"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</row>
    <row r="618"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</row>
    <row r="619"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</row>
    <row r="620"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</row>
    <row r="621"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</row>
    <row r="622"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</row>
    <row r="623"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</row>
    <row r="624"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</row>
    <row r="625"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</row>
    <row r="626"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</row>
    <row r="627"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</row>
    <row r="628"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</row>
    <row r="629"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</row>
    <row r="630"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</row>
    <row r="631"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</row>
    <row r="632"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</row>
    <row r="633"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</row>
    <row r="634"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</row>
    <row r="635"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</row>
    <row r="636"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</row>
    <row r="637"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</row>
    <row r="638"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</row>
    <row r="639"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</row>
    <row r="640"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</row>
    <row r="641"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</row>
    <row r="642"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</row>
    <row r="643"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</row>
    <row r="644"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</row>
    <row r="645"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</row>
    <row r="646"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</row>
    <row r="647"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</row>
    <row r="648"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</row>
    <row r="649"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</row>
    <row r="650"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</row>
    <row r="651"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</row>
    <row r="652"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</row>
    <row r="653"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</row>
    <row r="654"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</row>
    <row r="655"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</row>
    <row r="656"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</row>
    <row r="657"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</row>
    <row r="658"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</row>
    <row r="659"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</row>
    <row r="660"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</row>
    <row r="661"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</row>
    <row r="662"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</row>
    <row r="663"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</row>
    <row r="664"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</row>
    <row r="665"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</row>
    <row r="666"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</row>
    <row r="667"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</row>
    <row r="668"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</row>
    <row r="669"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</row>
    <row r="670"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</row>
    <row r="671"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</row>
    <row r="672"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</row>
    <row r="673"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</row>
    <row r="674"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</row>
    <row r="675"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</row>
    <row r="676"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</row>
    <row r="677"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</row>
    <row r="678"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</row>
    <row r="679"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</row>
    <row r="680"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</row>
    <row r="681"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</row>
    <row r="682"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</row>
    <row r="683"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</row>
    <row r="684"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</row>
    <row r="685"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</row>
    <row r="686"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</row>
    <row r="687"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</row>
    <row r="688"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</row>
    <row r="689"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</row>
    <row r="690"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</row>
    <row r="691"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</row>
    <row r="692"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</row>
    <row r="693"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</row>
    <row r="694"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</row>
    <row r="695"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</row>
    <row r="696"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</row>
    <row r="697"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</row>
    <row r="698"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</row>
    <row r="699"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</row>
    <row r="700"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</row>
    <row r="701"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</row>
    <row r="702"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</row>
    <row r="703"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</row>
    <row r="704"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</row>
    <row r="705"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</row>
    <row r="706"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</row>
    <row r="707"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</row>
    <row r="708"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</row>
    <row r="709"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</row>
    <row r="710"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</row>
    <row r="711"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</row>
    <row r="712"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</row>
    <row r="713"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</row>
    <row r="714"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</row>
    <row r="715"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</row>
    <row r="716"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</row>
    <row r="717"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</row>
    <row r="718"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</row>
    <row r="719"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</row>
    <row r="720"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</row>
    <row r="721"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</row>
    <row r="722"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</row>
    <row r="723"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</row>
    <row r="724"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</row>
    <row r="725"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</row>
    <row r="726"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</row>
    <row r="727"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</row>
    <row r="728"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</row>
    <row r="729"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</row>
    <row r="730"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</row>
    <row r="731"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</row>
    <row r="732"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</row>
    <row r="733"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</row>
    <row r="734"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</row>
    <row r="735"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</row>
    <row r="736"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</row>
    <row r="737"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</row>
    <row r="738"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</row>
    <row r="739"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</row>
    <row r="740"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</row>
    <row r="741"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</row>
    <row r="742"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</row>
    <row r="743"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</row>
    <row r="744"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</row>
    <row r="745"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</row>
    <row r="746"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</row>
    <row r="747"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</row>
    <row r="748"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</row>
    <row r="749"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</row>
    <row r="750"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</row>
    <row r="751"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</row>
    <row r="752"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</row>
    <row r="753"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</row>
    <row r="754"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</row>
    <row r="755"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</row>
    <row r="756"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</row>
    <row r="757"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</row>
    <row r="758"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</row>
    <row r="759"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</row>
    <row r="760"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</row>
    <row r="761"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</row>
    <row r="762"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</row>
    <row r="763"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</row>
    <row r="764"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</row>
    <row r="765"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</row>
    <row r="766"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</row>
    <row r="767"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</row>
    <row r="768"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</row>
    <row r="769"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</row>
    <row r="770"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</row>
    <row r="771"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</row>
    <row r="772"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</row>
    <row r="773"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</row>
    <row r="774"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</row>
    <row r="775"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</row>
    <row r="776"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</row>
    <row r="777"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</row>
    <row r="778"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</row>
    <row r="779"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</row>
    <row r="780"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</row>
    <row r="781"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</row>
    <row r="782"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</row>
    <row r="783"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</row>
    <row r="784"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</row>
    <row r="785"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</row>
    <row r="786"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</row>
    <row r="787"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</row>
    <row r="788"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</row>
    <row r="789"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</row>
    <row r="790"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</row>
    <row r="791"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</row>
    <row r="792"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</row>
    <row r="793"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</row>
    <row r="794"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</row>
    <row r="795"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</row>
    <row r="796"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</row>
    <row r="797"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</row>
    <row r="798"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</row>
    <row r="799"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</row>
    <row r="800"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</row>
    <row r="801"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</row>
    <row r="802"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</row>
    <row r="803"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</row>
    <row r="804"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</row>
    <row r="805"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</row>
    <row r="806"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</row>
    <row r="807"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</row>
    <row r="808"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</row>
    <row r="809"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</row>
    <row r="810"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</row>
    <row r="811"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</row>
    <row r="812"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</row>
    <row r="813"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</row>
    <row r="814"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</row>
    <row r="815"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</row>
    <row r="816"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</row>
    <row r="817"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</row>
    <row r="818"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</row>
    <row r="819"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</row>
    <row r="820"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</row>
    <row r="821"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</row>
    <row r="822"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</row>
    <row r="823"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</row>
    <row r="824"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</row>
    <row r="825"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</row>
    <row r="826"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</row>
    <row r="827"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</row>
    <row r="828"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</row>
    <row r="829"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</row>
    <row r="830"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</row>
    <row r="831"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</row>
    <row r="832"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</row>
    <row r="833"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</row>
    <row r="834"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</row>
    <row r="835"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</row>
    <row r="836"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</row>
    <row r="837"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</row>
    <row r="838"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</row>
    <row r="839"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</row>
    <row r="840"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</row>
    <row r="841"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</row>
    <row r="842"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</row>
    <row r="843"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</row>
    <row r="844"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</row>
    <row r="845"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</row>
    <row r="846"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</row>
    <row r="847"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</row>
    <row r="848"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</row>
    <row r="849"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</row>
    <row r="850"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</row>
    <row r="851"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</row>
    <row r="852"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</row>
    <row r="853"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</row>
    <row r="854"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</row>
    <row r="855"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</row>
    <row r="856"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</row>
    <row r="857"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</row>
    <row r="858"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</row>
    <row r="859"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</row>
    <row r="860"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</row>
    <row r="861"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</row>
    <row r="862"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</row>
    <row r="863"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</row>
    <row r="864"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</row>
    <row r="865"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</row>
    <row r="866"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</row>
    <row r="867"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</row>
    <row r="868"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</row>
    <row r="869"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</row>
    <row r="870"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</row>
    <row r="871"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</row>
    <row r="872"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</row>
    <row r="873"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</row>
    <row r="874"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</row>
    <row r="875"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</row>
    <row r="876"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</row>
    <row r="877"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</row>
    <row r="878"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</row>
    <row r="879"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</row>
    <row r="880"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</row>
    <row r="881"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</row>
    <row r="882"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</row>
    <row r="883"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</row>
    <row r="884"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</row>
    <row r="885"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</row>
    <row r="886"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</row>
    <row r="887"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</row>
    <row r="888"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</row>
    <row r="889"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</row>
    <row r="890"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</row>
    <row r="891"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</row>
    <row r="892"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</row>
    <row r="893"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</row>
    <row r="894"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</row>
    <row r="895"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</row>
    <row r="896"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</row>
    <row r="897"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</row>
    <row r="898"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</row>
    <row r="899"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</row>
    <row r="900"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</row>
    <row r="901"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</row>
    <row r="902"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</row>
    <row r="903"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</row>
    <row r="904"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</row>
    <row r="905"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</row>
    <row r="906"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</row>
    <row r="907"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</row>
    <row r="908"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</row>
    <row r="909"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</row>
    <row r="910"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</row>
    <row r="911"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</row>
    <row r="912"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</row>
    <row r="913"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</row>
    <row r="914"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</row>
    <row r="915"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</row>
    <row r="916"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</row>
    <row r="917"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</row>
    <row r="918"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</row>
    <row r="919"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</row>
    <row r="920"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</row>
    <row r="921"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</row>
    <row r="922"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</row>
    <row r="923"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</row>
    <row r="924"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</row>
    <row r="925"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</row>
    <row r="926"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</row>
    <row r="927"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</row>
    <row r="928"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</row>
    <row r="929"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</row>
    <row r="930"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</row>
    <row r="931"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</row>
    <row r="932"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</row>
    <row r="933"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</row>
    <row r="934"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</row>
    <row r="935"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</row>
    <row r="936"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</row>
    <row r="937"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</row>
    <row r="938"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</row>
    <row r="939"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</row>
    <row r="940"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</row>
    <row r="941"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</row>
    <row r="942"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</row>
    <row r="943"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</row>
    <row r="944"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</row>
    <row r="945"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</row>
    <row r="946"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</row>
    <row r="947"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</row>
    <row r="948"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</row>
    <row r="949"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</row>
    <row r="950"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</row>
    <row r="951"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</row>
    <row r="952"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</row>
    <row r="953"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</row>
    <row r="954"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</row>
    <row r="955"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</row>
    <row r="956"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</row>
    <row r="957"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</row>
    <row r="958"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</row>
    <row r="959"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</row>
    <row r="960"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</row>
    <row r="961"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</row>
    <row r="962"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</row>
    <row r="963"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</row>
    <row r="964"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</row>
    <row r="965"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</row>
    <row r="966"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</row>
    <row r="967"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</row>
    <row r="968"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</row>
    <row r="969"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</row>
    <row r="970"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</row>
    <row r="971"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</row>
    <row r="972"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</row>
    <row r="973"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</row>
    <row r="974"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</row>
    <row r="975"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</row>
    <row r="976"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</row>
    <row r="977"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</row>
    <row r="978"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</row>
    <row r="979"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</row>
    <row r="980"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</row>
    <row r="981"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</row>
    <row r="982"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</row>
    <row r="983"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</row>
    <row r="984"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</row>
    <row r="985"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</row>
    <row r="986"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</row>
    <row r="987"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</row>
    <row r="988"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</row>
    <row r="989"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</row>
    <row r="990"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</row>
    <row r="991"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</row>
    <row r="992"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</row>
    <row r="993"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</row>
    <row r="994"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</row>
    <row r="995"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</row>
    <row r="996"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</row>
    <row r="997"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</row>
    <row r="998"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</row>
    <row r="999"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</row>
    <row r="1000"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</row>
    <row r="1001"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</row>
    <row r="1002"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</row>
    <row r="1003"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</row>
    <row r="1004"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</row>
    <row r="1005"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3" t="s">
        <v>35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4">
        <v>45317.0</v>
      </c>
      <c r="AJ1" s="4">
        <v>45324.0</v>
      </c>
      <c r="AK1" s="4">
        <v>45331.0</v>
      </c>
      <c r="AL1" s="23">
        <v>45338.0</v>
      </c>
      <c r="AM1" s="23">
        <v>45345.0</v>
      </c>
      <c r="AN1" s="23">
        <v>45352.0</v>
      </c>
      <c r="AO1" s="23">
        <v>45359.0</v>
      </c>
      <c r="AP1" s="23">
        <v>45366.0</v>
      </c>
      <c r="AQ1" s="23">
        <v>45373.0</v>
      </c>
      <c r="AR1" s="23">
        <v>45380.0</v>
      </c>
      <c r="AS1" s="23">
        <v>45387.0</v>
      </c>
      <c r="AT1" s="23">
        <v>45394.0</v>
      </c>
      <c r="AU1" s="23">
        <v>45401.0</v>
      </c>
      <c r="AV1" s="23">
        <v>45408.0</v>
      </c>
      <c r="AW1" s="23">
        <v>45415.0</v>
      </c>
      <c r="AX1" s="23">
        <v>45422.0</v>
      </c>
      <c r="AY1" s="23">
        <v>45429.0</v>
      </c>
      <c r="AZ1" s="23">
        <v>45436.0</v>
      </c>
      <c r="BA1" s="23">
        <v>45443.0</v>
      </c>
      <c r="BB1" s="23">
        <v>45450.0</v>
      </c>
      <c r="BC1" s="23">
        <v>45457.0</v>
      </c>
      <c r="BD1" s="23">
        <v>45464.0</v>
      </c>
      <c r="BE1" s="23">
        <v>45471.0</v>
      </c>
      <c r="BF1" s="23">
        <v>45478.0</v>
      </c>
      <c r="BG1" s="23">
        <v>45485.0</v>
      </c>
      <c r="BH1" s="23">
        <v>45492.0</v>
      </c>
      <c r="BI1" s="23">
        <v>45499.0</v>
      </c>
      <c r="BJ1" s="23">
        <v>45506.0</v>
      </c>
      <c r="BK1" s="23">
        <v>45513.0</v>
      </c>
      <c r="BL1" s="23">
        <v>45520.0</v>
      </c>
      <c r="BM1" s="23">
        <v>45527.0</v>
      </c>
      <c r="BN1" s="23">
        <v>45534.0</v>
      </c>
      <c r="BO1" s="23">
        <v>45541.0</v>
      </c>
      <c r="BP1" s="23">
        <v>45548.0</v>
      </c>
      <c r="BQ1" s="23">
        <v>45555.0</v>
      </c>
      <c r="BR1" s="23">
        <v>45562.0</v>
      </c>
      <c r="BS1" s="23">
        <v>45569.0</v>
      </c>
      <c r="BT1" s="23">
        <v>45576.0</v>
      </c>
      <c r="BU1" s="23">
        <v>45583.0</v>
      </c>
      <c r="BV1" s="23">
        <v>45590.0</v>
      </c>
      <c r="BW1" s="23">
        <v>45597.0</v>
      </c>
      <c r="BX1" s="23">
        <v>45604.0</v>
      </c>
      <c r="BY1" s="23">
        <v>45611.0</v>
      </c>
      <c r="BZ1" s="23">
        <v>45618.0</v>
      </c>
      <c r="CA1" s="23">
        <v>45625.0</v>
      </c>
      <c r="CB1" s="23">
        <v>45632.0</v>
      </c>
      <c r="CC1" s="23">
        <v>45639.0</v>
      </c>
      <c r="CD1" s="23">
        <v>45646.0</v>
      </c>
      <c r="CE1" s="23">
        <v>45660.0</v>
      </c>
    </row>
    <row r="2">
      <c r="A2" s="3" t="s">
        <v>40</v>
      </c>
      <c r="B2" s="14"/>
      <c r="F2" s="14"/>
      <c r="AG2" s="3">
        <v>139.0</v>
      </c>
      <c r="AH2" s="3">
        <v>2.0</v>
      </c>
      <c r="AI2" s="3">
        <v>11.0</v>
      </c>
      <c r="AJ2" s="3">
        <v>0.0</v>
      </c>
      <c r="AK2" s="3">
        <v>29.0</v>
      </c>
      <c r="AL2" s="24">
        <v>16.0</v>
      </c>
      <c r="AM2" s="24">
        <v>0.0</v>
      </c>
      <c r="AN2" s="24">
        <v>6.0</v>
      </c>
      <c r="AO2" s="24">
        <v>3.0</v>
      </c>
      <c r="AP2" s="24">
        <v>40.0</v>
      </c>
      <c r="AQ2" s="24">
        <v>74.0</v>
      </c>
      <c r="AR2" s="24">
        <v>126.0</v>
      </c>
      <c r="AS2" s="24">
        <v>83.0</v>
      </c>
      <c r="AT2" s="24">
        <v>24.0</v>
      </c>
      <c r="AU2" s="24">
        <v>18.0</v>
      </c>
      <c r="AV2" s="24">
        <v>51.0</v>
      </c>
      <c r="AW2" s="24">
        <v>17.0</v>
      </c>
      <c r="AX2" s="24">
        <v>44.0</v>
      </c>
      <c r="AY2" s="24">
        <v>16.0</v>
      </c>
      <c r="AZ2" s="24">
        <v>37.0</v>
      </c>
      <c r="BA2" s="24">
        <v>34.0</v>
      </c>
      <c r="BB2" s="24">
        <v>13.0</v>
      </c>
      <c r="BC2" s="24">
        <v>13.0</v>
      </c>
      <c r="BD2" s="24">
        <v>14.0</v>
      </c>
      <c r="BE2" s="24">
        <v>25.0</v>
      </c>
      <c r="BF2" s="24">
        <v>27.0</v>
      </c>
      <c r="BG2" s="24">
        <v>6.0</v>
      </c>
      <c r="BH2" s="24">
        <v>8.0</v>
      </c>
      <c r="BI2" s="24">
        <v>33.0</v>
      </c>
      <c r="BJ2" s="24">
        <v>30.0</v>
      </c>
      <c r="BK2" s="24">
        <v>8.0</v>
      </c>
      <c r="BL2" s="24">
        <v>5.0</v>
      </c>
      <c r="BM2" s="24">
        <v>7.0</v>
      </c>
      <c r="BN2" s="24">
        <v>12.0</v>
      </c>
      <c r="BO2" s="24">
        <v>12.0</v>
      </c>
      <c r="BP2" s="24">
        <v>21.0</v>
      </c>
      <c r="BQ2" s="24">
        <v>17.0</v>
      </c>
      <c r="BR2" s="24">
        <v>14.0</v>
      </c>
      <c r="BS2" s="24">
        <v>10.0</v>
      </c>
      <c r="BT2" s="24">
        <v>15.0</v>
      </c>
      <c r="BU2" s="24">
        <v>14.0</v>
      </c>
      <c r="BV2" s="24">
        <v>4.0</v>
      </c>
      <c r="BW2" s="24">
        <v>3.0</v>
      </c>
      <c r="BX2" s="24">
        <v>9.0</v>
      </c>
      <c r="BY2" s="24">
        <v>16.0</v>
      </c>
      <c r="BZ2" s="24">
        <v>8.0</v>
      </c>
      <c r="CA2" s="24">
        <v>56.0</v>
      </c>
      <c r="CB2" s="24">
        <v>3.0</v>
      </c>
      <c r="CC2" s="24">
        <v>4.0</v>
      </c>
      <c r="CD2" s="24">
        <v>0.0</v>
      </c>
      <c r="CE2" s="24">
        <v>0.0</v>
      </c>
    </row>
    <row r="3">
      <c r="A3" s="3" t="s">
        <v>44</v>
      </c>
      <c r="B3" s="3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3">
        <v>216.0</v>
      </c>
      <c r="AE3" s="3">
        <v>240.0</v>
      </c>
      <c r="AF3" s="3">
        <v>245.0</v>
      </c>
      <c r="AG3" s="3">
        <v>263.0</v>
      </c>
      <c r="AH3" s="3">
        <v>216.0</v>
      </c>
      <c r="AI3" s="3">
        <v>188.0</v>
      </c>
      <c r="AJ3" s="3">
        <v>67.0</v>
      </c>
      <c r="AK3" s="3">
        <v>0.0</v>
      </c>
      <c r="AL3" s="24">
        <v>0.0</v>
      </c>
      <c r="AM3" s="24">
        <v>0.0</v>
      </c>
      <c r="AN3" s="24">
        <v>0.0</v>
      </c>
      <c r="AO3" s="24">
        <v>0.0</v>
      </c>
      <c r="AP3" s="24">
        <v>0.0</v>
      </c>
      <c r="AQ3" s="24">
        <v>0.0</v>
      </c>
      <c r="AR3" s="24">
        <v>4.0</v>
      </c>
      <c r="AS3" s="24">
        <v>0.0</v>
      </c>
      <c r="AT3" s="24">
        <v>6.0</v>
      </c>
      <c r="AU3" s="24">
        <v>3.0</v>
      </c>
      <c r="AV3" s="24">
        <v>14.0</v>
      </c>
      <c r="AW3" s="24">
        <v>7.0</v>
      </c>
      <c r="AX3" s="24">
        <v>2.0</v>
      </c>
      <c r="AY3" s="24">
        <v>1.0</v>
      </c>
      <c r="AZ3" s="24">
        <v>0.0</v>
      </c>
      <c r="BA3" s="24">
        <v>0.0</v>
      </c>
      <c r="BB3" s="24">
        <v>0.0</v>
      </c>
      <c r="BC3" s="24">
        <v>0.0</v>
      </c>
      <c r="BD3" s="24">
        <v>5.0</v>
      </c>
      <c r="BE3" s="24">
        <v>1.0</v>
      </c>
      <c r="BF3" s="24">
        <v>2.0</v>
      </c>
      <c r="BG3" s="24">
        <v>0.0</v>
      </c>
      <c r="BH3" s="24">
        <v>0.0</v>
      </c>
      <c r="BI3" s="24">
        <v>0.0</v>
      </c>
      <c r="BJ3" s="24">
        <v>0.0</v>
      </c>
      <c r="BK3" s="24">
        <v>0.0</v>
      </c>
      <c r="BL3" s="24">
        <v>0.0</v>
      </c>
      <c r="BM3" s="24">
        <v>0.0</v>
      </c>
      <c r="BN3" s="24">
        <v>0.0</v>
      </c>
      <c r="BO3" s="24">
        <v>1.0</v>
      </c>
      <c r="BP3" s="24">
        <v>0.0</v>
      </c>
      <c r="BQ3" s="24">
        <v>0.0</v>
      </c>
      <c r="BR3" s="24">
        <v>5.0</v>
      </c>
      <c r="BS3" s="24">
        <v>0.0</v>
      </c>
      <c r="BT3" s="24">
        <v>0.0</v>
      </c>
      <c r="BU3" s="24">
        <v>1.0</v>
      </c>
      <c r="BV3" s="24">
        <v>0.0</v>
      </c>
      <c r="BW3" s="24">
        <v>3.0</v>
      </c>
      <c r="BX3" s="24">
        <v>0.0</v>
      </c>
      <c r="BY3" s="24">
        <v>0.0</v>
      </c>
      <c r="BZ3" s="24">
        <v>0.0</v>
      </c>
      <c r="CA3" s="24">
        <v>0.0</v>
      </c>
      <c r="CB3" s="24">
        <v>0.0</v>
      </c>
      <c r="CC3" s="24">
        <v>0.0</v>
      </c>
      <c r="CD3" s="24">
        <v>0.0</v>
      </c>
      <c r="CE3" s="24">
        <v>0.0</v>
      </c>
    </row>
    <row r="4">
      <c r="A4" s="3" t="s">
        <v>48</v>
      </c>
      <c r="B4" s="22"/>
      <c r="F4" s="14"/>
      <c r="H4" s="15">
        <v>3.0</v>
      </c>
      <c r="I4" s="15">
        <v>0.0</v>
      </c>
      <c r="J4" s="15">
        <v>0.0</v>
      </c>
      <c r="K4" s="15">
        <v>0.0</v>
      </c>
      <c r="L4" s="15">
        <v>8.0</v>
      </c>
      <c r="M4" s="15">
        <v>0.0</v>
      </c>
      <c r="N4" s="15">
        <v>0.0</v>
      </c>
      <c r="O4" s="15">
        <v>21.0</v>
      </c>
      <c r="P4" s="15">
        <v>0.0</v>
      </c>
      <c r="Q4" s="15">
        <v>8.0</v>
      </c>
      <c r="R4" s="15">
        <v>22.0</v>
      </c>
      <c r="S4" s="15">
        <v>28.0</v>
      </c>
      <c r="T4" s="15">
        <v>3.0</v>
      </c>
      <c r="U4" s="15">
        <v>10.0</v>
      </c>
      <c r="V4" s="15">
        <v>0.0</v>
      </c>
      <c r="W4" s="15">
        <v>1.0</v>
      </c>
      <c r="X4" s="15">
        <v>0.0</v>
      </c>
      <c r="Y4" s="15">
        <v>3.0</v>
      </c>
      <c r="Z4" s="15">
        <v>0.0</v>
      </c>
      <c r="AA4" s="15">
        <v>0.0</v>
      </c>
      <c r="AB4" s="15">
        <v>0.0</v>
      </c>
      <c r="AC4" s="15">
        <v>0.0</v>
      </c>
      <c r="AD4" s="15">
        <v>0.0</v>
      </c>
      <c r="AE4" s="15">
        <v>1.0</v>
      </c>
      <c r="AF4" s="15">
        <v>0.0</v>
      </c>
      <c r="AG4" s="15">
        <v>3.0</v>
      </c>
      <c r="AH4" s="22">
        <v>0.0</v>
      </c>
      <c r="AI4" s="3">
        <v>0.0</v>
      </c>
      <c r="AJ4" s="3">
        <v>0.0</v>
      </c>
      <c r="AK4" s="3">
        <v>0.0</v>
      </c>
      <c r="AL4" s="24">
        <v>0.0</v>
      </c>
      <c r="AM4" s="24">
        <v>0.0</v>
      </c>
      <c r="AN4" s="24">
        <v>3.0</v>
      </c>
      <c r="AO4" s="24">
        <v>0.0</v>
      </c>
      <c r="AP4" s="24">
        <v>0.0</v>
      </c>
      <c r="AQ4" s="24">
        <v>0.0</v>
      </c>
      <c r="AR4" s="24">
        <v>0.0</v>
      </c>
      <c r="AS4" s="24">
        <v>0.0</v>
      </c>
      <c r="AT4" s="24">
        <v>1.0</v>
      </c>
      <c r="AU4" s="24">
        <v>0.0</v>
      </c>
      <c r="AV4" s="24">
        <v>8.0</v>
      </c>
      <c r="AW4" s="24">
        <v>0.0</v>
      </c>
      <c r="AX4" s="24">
        <v>0.0</v>
      </c>
      <c r="AY4" s="24">
        <v>0.0</v>
      </c>
      <c r="AZ4" s="24">
        <v>0.0</v>
      </c>
      <c r="BA4" s="24">
        <v>0.0</v>
      </c>
      <c r="BB4" s="24">
        <v>0.0</v>
      </c>
      <c r="BC4" s="24">
        <v>0.0</v>
      </c>
      <c r="BD4" s="24">
        <v>0.0</v>
      </c>
      <c r="BE4" s="24">
        <v>0.0</v>
      </c>
      <c r="BF4" s="24">
        <v>0.0</v>
      </c>
      <c r="BG4" s="24">
        <v>0.0</v>
      </c>
      <c r="BH4" s="24">
        <v>0.0</v>
      </c>
      <c r="BI4" s="24">
        <v>0.0</v>
      </c>
      <c r="BJ4" s="24">
        <v>0.0</v>
      </c>
      <c r="BK4" s="24">
        <v>0.0</v>
      </c>
      <c r="BL4" s="24">
        <v>0.0</v>
      </c>
      <c r="BM4" s="24">
        <v>0.0</v>
      </c>
      <c r="BN4" s="24">
        <v>0.0</v>
      </c>
      <c r="BO4" s="24">
        <v>0.0</v>
      </c>
      <c r="BP4" s="24">
        <v>0.0</v>
      </c>
      <c r="BQ4" s="24">
        <v>0.0</v>
      </c>
      <c r="BR4" s="24">
        <v>0.0</v>
      </c>
      <c r="BS4" s="24">
        <v>0.0</v>
      </c>
      <c r="BT4" s="24">
        <v>0.0</v>
      </c>
      <c r="BU4" s="24">
        <v>0.0</v>
      </c>
      <c r="BV4" s="24">
        <v>0.0</v>
      </c>
      <c r="BW4" s="24">
        <v>0.0</v>
      </c>
      <c r="BX4" s="24">
        <v>0.0</v>
      </c>
      <c r="BY4" s="24">
        <v>0.0</v>
      </c>
      <c r="BZ4" s="24">
        <v>0.0</v>
      </c>
      <c r="CA4" s="24">
        <v>0.0</v>
      </c>
      <c r="CB4" s="24">
        <v>0.0</v>
      </c>
      <c r="CC4" s="24">
        <v>0.0</v>
      </c>
      <c r="CD4" s="24">
        <v>0.0</v>
      </c>
      <c r="CE4" s="24">
        <v>0.0</v>
      </c>
    </row>
    <row r="5">
      <c r="A5" s="3" t="s">
        <v>52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3">
        <v>399.0</v>
      </c>
      <c r="AC5" s="3">
        <v>111.0</v>
      </c>
      <c r="AD5" s="3">
        <v>35.0</v>
      </c>
      <c r="AE5" s="3">
        <v>12.0</v>
      </c>
      <c r="AF5" s="3">
        <v>17.0</v>
      </c>
      <c r="AG5" s="3">
        <v>1.0</v>
      </c>
      <c r="AH5" s="3">
        <v>12.0</v>
      </c>
      <c r="AI5" s="3">
        <v>3.0</v>
      </c>
      <c r="AJ5" s="3">
        <v>2.0</v>
      </c>
      <c r="AK5" s="3">
        <v>0.0</v>
      </c>
      <c r="AL5" s="24">
        <v>10.0</v>
      </c>
      <c r="AM5" s="24">
        <v>4.0</v>
      </c>
      <c r="AN5" s="24">
        <v>6.0</v>
      </c>
      <c r="AO5" s="24">
        <v>4.0</v>
      </c>
      <c r="AP5" s="24">
        <v>3.0</v>
      </c>
      <c r="AQ5" s="24">
        <v>2.0</v>
      </c>
      <c r="AR5" s="24">
        <v>3.0</v>
      </c>
      <c r="AS5" s="24">
        <v>1.0</v>
      </c>
      <c r="AT5" s="24">
        <v>8.0</v>
      </c>
      <c r="AU5" s="24">
        <v>10.0</v>
      </c>
      <c r="AV5" s="24">
        <v>11.0</v>
      </c>
      <c r="AW5" s="24">
        <v>5.0</v>
      </c>
      <c r="AX5" s="24">
        <v>7.0</v>
      </c>
      <c r="AY5" s="24">
        <v>0.0</v>
      </c>
      <c r="AZ5" s="24">
        <v>3.0</v>
      </c>
      <c r="BA5" s="24">
        <v>0.0</v>
      </c>
      <c r="BB5" s="24">
        <v>7.0</v>
      </c>
      <c r="BC5" s="24">
        <v>4.0</v>
      </c>
      <c r="BD5" s="24">
        <v>0.0</v>
      </c>
      <c r="BE5" s="24">
        <v>0.0</v>
      </c>
      <c r="BF5" s="24">
        <v>0.0</v>
      </c>
      <c r="BG5" s="24">
        <v>0.0</v>
      </c>
      <c r="BH5" s="24">
        <v>0.0</v>
      </c>
      <c r="BI5" s="24">
        <v>0.0</v>
      </c>
      <c r="BJ5" s="24">
        <v>5.0</v>
      </c>
      <c r="BK5" s="24">
        <v>1.0</v>
      </c>
      <c r="BL5" s="24">
        <v>0.0</v>
      </c>
      <c r="BM5" s="24">
        <v>0.0</v>
      </c>
      <c r="BN5" s="24">
        <v>0.0</v>
      </c>
      <c r="BO5" s="24">
        <v>0.0</v>
      </c>
      <c r="BP5" s="24">
        <v>0.0</v>
      </c>
      <c r="BQ5" s="24">
        <v>0.0</v>
      </c>
      <c r="BR5" s="24">
        <v>0.0</v>
      </c>
      <c r="BS5" s="24">
        <v>0.0</v>
      </c>
      <c r="BT5" s="24">
        <v>0.0</v>
      </c>
      <c r="BU5" s="24">
        <v>6.0</v>
      </c>
      <c r="BV5" s="24">
        <v>0.0</v>
      </c>
      <c r="BW5" s="24">
        <v>0.0</v>
      </c>
      <c r="BX5" s="24">
        <v>0.0</v>
      </c>
      <c r="BY5" s="24">
        <v>0.0</v>
      </c>
      <c r="BZ5" s="24">
        <v>4.0</v>
      </c>
      <c r="CA5" s="24">
        <v>0.0</v>
      </c>
      <c r="CB5" s="24">
        <v>3.0</v>
      </c>
      <c r="CC5" s="24">
        <v>0.0</v>
      </c>
      <c r="CD5" s="24">
        <v>0.0</v>
      </c>
      <c r="CE5" s="24">
        <v>0.0</v>
      </c>
    </row>
    <row r="6">
      <c r="A6" s="3" t="s">
        <v>55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3" t="s">
        <v>60</v>
      </c>
      <c r="C7" s="15">
        <v>35.0</v>
      </c>
      <c r="D7" s="15">
        <v>73.0</v>
      </c>
      <c r="E7" s="15">
        <v>213.0</v>
      </c>
      <c r="F7" s="15">
        <v>220.0</v>
      </c>
      <c r="G7" s="15">
        <v>115.0</v>
      </c>
      <c r="H7" s="15">
        <v>290.0</v>
      </c>
      <c r="I7" s="15">
        <v>295.0</v>
      </c>
      <c r="J7" s="15">
        <v>257.0</v>
      </c>
      <c r="K7" s="15">
        <v>316.0</v>
      </c>
      <c r="L7" s="15">
        <v>316.0</v>
      </c>
      <c r="M7" s="15">
        <v>473.0</v>
      </c>
      <c r="N7" s="15">
        <v>705.0</v>
      </c>
      <c r="O7" s="15">
        <v>472.0</v>
      </c>
      <c r="P7" s="15">
        <v>705.0</v>
      </c>
      <c r="Q7" s="15">
        <v>646.0</v>
      </c>
      <c r="R7" s="15">
        <v>579.0</v>
      </c>
      <c r="S7" s="15">
        <v>737.0</v>
      </c>
      <c r="T7" s="15">
        <v>744.0</v>
      </c>
      <c r="U7" s="15">
        <v>886.0</v>
      </c>
      <c r="V7" s="15">
        <v>803.0</v>
      </c>
      <c r="W7" s="15">
        <v>731.0</v>
      </c>
      <c r="X7" s="15">
        <v>471.0</v>
      </c>
      <c r="Y7" s="15">
        <v>414.0</v>
      </c>
      <c r="Z7" s="15">
        <v>303.0</v>
      </c>
      <c r="AA7" s="15">
        <v>58.0</v>
      </c>
      <c r="AB7" s="15">
        <v>36.0</v>
      </c>
      <c r="AC7" s="15">
        <v>29.0</v>
      </c>
      <c r="AD7" s="15">
        <v>12.0</v>
      </c>
      <c r="AE7" s="15">
        <v>30.0</v>
      </c>
      <c r="AF7" s="15">
        <v>20.0</v>
      </c>
      <c r="AG7" s="15">
        <v>1.0</v>
      </c>
      <c r="AH7" s="15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3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</row>
    <row r="9">
      <c r="A9" s="3" t="s">
        <v>64</v>
      </c>
      <c r="B9" s="1">
        <f t="shared" ref="B9:AI9" si="5">B1</f>
        <v>45086</v>
      </c>
      <c r="C9" s="1">
        <f t="shared" si="5"/>
        <v>45093</v>
      </c>
      <c r="D9" s="1">
        <f t="shared" si="5"/>
        <v>45100</v>
      </c>
      <c r="E9" s="1">
        <f t="shared" si="5"/>
        <v>45107</v>
      </c>
      <c r="F9" s="1">
        <f t="shared" si="5"/>
        <v>45114</v>
      </c>
      <c r="G9" s="1">
        <f t="shared" si="5"/>
        <v>45121</v>
      </c>
      <c r="H9" s="1">
        <f t="shared" si="5"/>
        <v>45128</v>
      </c>
      <c r="I9" s="1">
        <f t="shared" si="5"/>
        <v>45135</v>
      </c>
      <c r="J9" s="1">
        <f t="shared" si="5"/>
        <v>45142</v>
      </c>
      <c r="K9" s="1">
        <f t="shared" si="5"/>
        <v>45149</v>
      </c>
      <c r="L9" s="1">
        <f t="shared" si="5"/>
        <v>45156</v>
      </c>
      <c r="M9" s="1">
        <f t="shared" si="5"/>
        <v>45163</v>
      </c>
      <c r="N9" s="1">
        <f t="shared" si="5"/>
        <v>45170</v>
      </c>
      <c r="O9" s="1">
        <f t="shared" si="5"/>
        <v>45177</v>
      </c>
      <c r="P9" s="1">
        <f t="shared" si="5"/>
        <v>45184</v>
      </c>
      <c r="Q9" s="1">
        <f t="shared" si="5"/>
        <v>45191</v>
      </c>
      <c r="R9" s="1">
        <f t="shared" si="5"/>
        <v>45198</v>
      </c>
      <c r="S9" s="1">
        <f t="shared" si="5"/>
        <v>45205</v>
      </c>
      <c r="T9" s="1">
        <f t="shared" si="5"/>
        <v>45212</v>
      </c>
      <c r="U9" s="1">
        <f t="shared" si="5"/>
        <v>45219</v>
      </c>
      <c r="V9" s="1">
        <f t="shared" si="5"/>
        <v>45226</v>
      </c>
      <c r="W9" s="1">
        <f t="shared" si="5"/>
        <v>45233</v>
      </c>
      <c r="X9" s="1">
        <f t="shared" si="5"/>
        <v>45240</v>
      </c>
      <c r="Y9" s="1">
        <f t="shared" si="5"/>
        <v>45247</v>
      </c>
      <c r="Z9" s="1">
        <f t="shared" si="5"/>
        <v>45254</v>
      </c>
      <c r="AA9" s="1">
        <f t="shared" si="5"/>
        <v>45261</v>
      </c>
      <c r="AB9" s="1">
        <f t="shared" si="5"/>
        <v>45268</v>
      </c>
      <c r="AC9" s="1">
        <f t="shared" si="5"/>
        <v>45275</v>
      </c>
      <c r="AD9" s="1">
        <f t="shared" si="5"/>
        <v>45282</v>
      </c>
      <c r="AE9" s="1">
        <f t="shared" si="5"/>
        <v>45289</v>
      </c>
      <c r="AF9" s="1">
        <f t="shared" si="5"/>
        <v>45296</v>
      </c>
      <c r="AG9" s="1">
        <f t="shared" si="5"/>
        <v>45303</v>
      </c>
      <c r="AH9" s="1">
        <f t="shared" si="5"/>
        <v>45310</v>
      </c>
      <c r="AI9" s="1">
        <f t="shared" si="5"/>
        <v>45317</v>
      </c>
      <c r="AJ9" s="1">
        <v>45324.0</v>
      </c>
      <c r="AK9" s="1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3">
        <v>45387.0</v>
      </c>
      <c r="AT9" s="23">
        <v>45394.0</v>
      </c>
      <c r="AU9" s="23">
        <v>45401.0</v>
      </c>
      <c r="AV9" s="23">
        <v>45408.0</v>
      </c>
      <c r="AW9" s="23">
        <v>45415.0</v>
      </c>
      <c r="AX9" s="23">
        <v>45422.0</v>
      </c>
      <c r="AY9" s="23">
        <v>45429.0</v>
      </c>
      <c r="AZ9" s="23">
        <v>45436.0</v>
      </c>
      <c r="BA9" s="23">
        <v>45443.0</v>
      </c>
      <c r="BB9" s="23">
        <v>45450.0</v>
      </c>
      <c r="BC9" s="23">
        <v>45457.0</v>
      </c>
      <c r="BD9" s="23">
        <v>45464.0</v>
      </c>
      <c r="BE9" s="23">
        <v>45471.0</v>
      </c>
      <c r="BF9" s="23">
        <v>45478.0</v>
      </c>
      <c r="BG9" s="23">
        <v>45485.0</v>
      </c>
      <c r="BH9" s="23">
        <v>45492.0</v>
      </c>
      <c r="BI9" s="23">
        <v>45499.0</v>
      </c>
      <c r="BJ9" s="23">
        <v>45506.0</v>
      </c>
      <c r="BK9" s="23">
        <v>45513.0</v>
      </c>
      <c r="BL9" s="23">
        <v>45520.0</v>
      </c>
      <c r="BM9" s="23">
        <v>45527.0</v>
      </c>
      <c r="BN9" s="23">
        <v>45534.0</v>
      </c>
      <c r="BO9" s="23">
        <v>45541.0</v>
      </c>
      <c r="BP9" s="23">
        <v>45548.0</v>
      </c>
      <c r="BQ9" s="23">
        <v>45555.0</v>
      </c>
      <c r="BR9" s="23">
        <v>45562.0</v>
      </c>
      <c r="BS9" s="23">
        <v>45569.0</v>
      </c>
      <c r="BT9" s="23">
        <v>45576.0</v>
      </c>
      <c r="BU9" s="23">
        <v>45583.0</v>
      </c>
      <c r="BV9" s="23">
        <v>45590.0</v>
      </c>
      <c r="BW9" s="23">
        <v>45597.0</v>
      </c>
      <c r="BX9" s="23">
        <v>45604.0</v>
      </c>
      <c r="BY9" s="23">
        <v>45611.0</v>
      </c>
      <c r="BZ9" s="23">
        <v>45618.0</v>
      </c>
      <c r="CA9" s="23">
        <v>45625.0</v>
      </c>
      <c r="CB9" s="23">
        <v>45632.0</v>
      </c>
      <c r="CC9" s="23">
        <v>45639.0</v>
      </c>
      <c r="CD9" s="23">
        <v>45646.0</v>
      </c>
      <c r="CE9" s="23">
        <v>45660.0</v>
      </c>
    </row>
    <row r="10">
      <c r="A10" s="3" t="s">
        <v>66</v>
      </c>
      <c r="B10" s="22"/>
      <c r="F10" s="14"/>
      <c r="J10" s="15">
        <v>556.0</v>
      </c>
      <c r="K10" s="15">
        <v>610.0</v>
      </c>
      <c r="L10" s="15">
        <v>783.0</v>
      </c>
      <c r="M10" s="15">
        <v>798.0</v>
      </c>
      <c r="N10" s="15">
        <v>814.0</v>
      </c>
      <c r="O10" s="15">
        <v>828.0</v>
      </c>
      <c r="P10" s="15">
        <v>996.0</v>
      </c>
      <c r="Q10" s="15">
        <v>992.0</v>
      </c>
      <c r="R10" s="15">
        <v>1000.0</v>
      </c>
      <c r="S10" s="15">
        <v>1198.0</v>
      </c>
      <c r="T10" s="15">
        <v>1151.0</v>
      </c>
      <c r="U10" s="15">
        <v>1302.0</v>
      </c>
      <c r="V10" s="15">
        <v>1283.0</v>
      </c>
      <c r="W10" s="15">
        <v>1269.0</v>
      </c>
      <c r="X10" s="15">
        <v>1269.0</v>
      </c>
      <c r="Y10" s="15">
        <v>1228.0</v>
      </c>
      <c r="Z10" s="15">
        <v>1194.0</v>
      </c>
      <c r="AA10" s="15">
        <v>1265.0</v>
      </c>
      <c r="AB10" s="15">
        <v>1247.0</v>
      </c>
      <c r="AC10" s="15">
        <v>1242.0</v>
      </c>
      <c r="AD10" s="15">
        <v>1226.0</v>
      </c>
      <c r="AE10" s="15">
        <v>1204.0</v>
      </c>
      <c r="AF10" s="15">
        <v>1200.0</v>
      </c>
      <c r="AG10" s="15">
        <v>1170.0</v>
      </c>
      <c r="AH10" s="22">
        <v>1155.0</v>
      </c>
      <c r="AI10" s="3">
        <v>1105.0</v>
      </c>
      <c r="AJ10" s="3">
        <v>1104.0</v>
      </c>
      <c r="AK10" s="3">
        <v>1025.0</v>
      </c>
      <c r="AL10" s="31">
        <v>986.0</v>
      </c>
      <c r="AM10" s="31">
        <v>1030.0</v>
      </c>
      <c r="AN10" s="31">
        <v>1029.0</v>
      </c>
      <c r="AO10" s="31">
        <v>1070.0</v>
      </c>
      <c r="AP10" s="31">
        <v>1014.0</v>
      </c>
      <c r="AQ10" s="31">
        <v>975.0</v>
      </c>
      <c r="AR10" s="31">
        <v>871.0</v>
      </c>
      <c r="AS10" s="31">
        <v>897.0</v>
      </c>
      <c r="AT10" s="31">
        <v>866.0</v>
      </c>
      <c r="AU10" s="31">
        <v>901.0</v>
      </c>
      <c r="AV10" s="31">
        <v>976.0</v>
      </c>
      <c r="AW10" s="31">
        <v>914.0</v>
      </c>
      <c r="AX10" s="31">
        <v>913.0</v>
      </c>
      <c r="AY10" s="31">
        <v>982.0</v>
      </c>
      <c r="AZ10" s="31">
        <v>998.0</v>
      </c>
      <c r="BA10" s="31">
        <v>1027.0</v>
      </c>
      <c r="BB10" s="31">
        <v>934.0</v>
      </c>
      <c r="BC10" s="31">
        <v>856.0</v>
      </c>
      <c r="BD10" s="31">
        <v>796.0</v>
      </c>
      <c r="BE10" s="31">
        <v>715.0</v>
      </c>
      <c r="BF10" s="31">
        <v>681.0</v>
      </c>
      <c r="BG10" s="31">
        <v>644.0</v>
      </c>
      <c r="BH10" s="31">
        <v>579.0</v>
      </c>
      <c r="BI10" s="31">
        <v>515.0</v>
      </c>
      <c r="BJ10" s="31">
        <v>495.0</v>
      </c>
      <c r="BK10" s="31">
        <v>477.0</v>
      </c>
      <c r="BL10" s="31">
        <v>438.0</v>
      </c>
      <c r="BM10" s="31">
        <v>426.0</v>
      </c>
      <c r="BN10" s="31">
        <v>411.0</v>
      </c>
      <c r="BO10" s="31">
        <v>400.0</v>
      </c>
      <c r="BP10" s="31">
        <v>403.0</v>
      </c>
      <c r="BQ10" s="31">
        <v>392.0</v>
      </c>
      <c r="BR10" s="31">
        <v>426.0</v>
      </c>
      <c r="BS10" s="31">
        <v>472.0</v>
      </c>
      <c r="BT10" s="31">
        <v>490.0</v>
      </c>
      <c r="BU10" s="31">
        <v>522.0</v>
      </c>
      <c r="BV10" s="31">
        <v>538.0</v>
      </c>
      <c r="BW10" s="31">
        <v>551.0</v>
      </c>
      <c r="BX10" s="31">
        <v>731.0</v>
      </c>
      <c r="BY10" s="31">
        <v>690.0</v>
      </c>
      <c r="BZ10" s="31">
        <v>730.0</v>
      </c>
      <c r="CA10" s="31">
        <v>827.0</v>
      </c>
      <c r="CB10" s="31">
        <v>732.0</v>
      </c>
      <c r="CC10" s="31">
        <v>654.0</v>
      </c>
      <c r="CD10" s="31">
        <v>591.0</v>
      </c>
      <c r="CE10" s="31">
        <v>538.0</v>
      </c>
    </row>
    <row r="11">
      <c r="A11" s="3" t="s">
        <v>69</v>
      </c>
      <c r="B11" s="33"/>
      <c r="F11" s="14"/>
      <c r="J11" s="22"/>
      <c r="O11" s="15"/>
      <c r="AG11" s="3"/>
      <c r="AH11" s="3"/>
      <c r="AI11" s="3"/>
      <c r="AJ11" s="3"/>
      <c r="AK11" s="3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>
        <v>0.0</v>
      </c>
      <c r="BG11" s="24">
        <v>23.0</v>
      </c>
      <c r="BH11" s="24">
        <v>49.0</v>
      </c>
      <c r="BI11" s="24">
        <v>97.0</v>
      </c>
      <c r="BJ11" s="24">
        <v>113.0</v>
      </c>
      <c r="BK11" s="24">
        <v>119.0</v>
      </c>
      <c r="BL11" s="24">
        <v>131.0</v>
      </c>
      <c r="BM11" s="24">
        <v>139.0</v>
      </c>
      <c r="BN11" s="24">
        <v>160.0</v>
      </c>
      <c r="BO11" s="24">
        <v>151.0</v>
      </c>
      <c r="BP11" s="24">
        <v>190.0</v>
      </c>
      <c r="BQ11" s="24">
        <v>233.0</v>
      </c>
      <c r="BR11" s="24">
        <v>245.0</v>
      </c>
      <c r="BS11" s="24">
        <v>267.0</v>
      </c>
      <c r="BT11" s="24">
        <v>260.0</v>
      </c>
      <c r="BU11" s="24">
        <v>234.0</v>
      </c>
      <c r="BV11" s="24">
        <v>236.0</v>
      </c>
      <c r="BW11" s="24">
        <v>316.0</v>
      </c>
      <c r="BX11" s="24">
        <v>309.0</v>
      </c>
      <c r="BY11" s="24">
        <v>442.0</v>
      </c>
      <c r="BZ11" s="24">
        <v>471.0</v>
      </c>
      <c r="CA11" s="24">
        <v>607.0</v>
      </c>
      <c r="CB11" s="24">
        <v>583.0</v>
      </c>
      <c r="CC11" s="24">
        <v>527.0</v>
      </c>
      <c r="CD11" s="24">
        <v>527.0</v>
      </c>
      <c r="CE11" s="24">
        <v>658.0</v>
      </c>
    </row>
    <row r="12">
      <c r="A12" s="3" t="s">
        <v>71</v>
      </c>
      <c r="B12" s="33"/>
      <c r="F12" s="14"/>
      <c r="J12" s="22"/>
      <c r="O12" s="15"/>
      <c r="Q12" s="3">
        <v>390.0</v>
      </c>
      <c r="R12" s="3">
        <v>547.0</v>
      </c>
      <c r="S12" s="3">
        <v>550.0</v>
      </c>
      <c r="T12" s="3">
        <v>548.0</v>
      </c>
      <c r="U12" s="3">
        <v>545.0</v>
      </c>
      <c r="V12" s="3">
        <v>550.0</v>
      </c>
      <c r="W12" s="3">
        <v>542.0</v>
      </c>
      <c r="X12" s="3">
        <v>542.0</v>
      </c>
      <c r="Y12" s="3">
        <v>549.0</v>
      </c>
      <c r="Z12" s="3">
        <v>523.0</v>
      </c>
      <c r="AA12" s="3">
        <v>541.0</v>
      </c>
      <c r="AB12" s="3">
        <v>549.0</v>
      </c>
      <c r="AC12" s="3">
        <v>540.0</v>
      </c>
      <c r="AD12" s="3">
        <v>547.0</v>
      </c>
      <c r="AE12" s="3">
        <v>547.0</v>
      </c>
      <c r="AF12" s="3">
        <v>547.0</v>
      </c>
      <c r="AG12" s="3">
        <v>550.0</v>
      </c>
      <c r="AH12" s="3">
        <v>541.0</v>
      </c>
      <c r="AI12" s="3">
        <v>547.0</v>
      </c>
      <c r="AJ12" s="3">
        <v>538.0</v>
      </c>
      <c r="AK12" s="3">
        <v>528.0</v>
      </c>
      <c r="AL12" s="24">
        <v>511.0</v>
      </c>
      <c r="AM12" s="24">
        <v>534.0</v>
      </c>
      <c r="AN12" s="24">
        <v>515.0</v>
      </c>
      <c r="AO12" s="24">
        <v>476.0</v>
      </c>
      <c r="AP12" s="24">
        <v>516.0</v>
      </c>
      <c r="AQ12" s="24">
        <v>466.0</v>
      </c>
      <c r="AR12" s="24">
        <v>411.0</v>
      </c>
      <c r="AS12" s="24">
        <v>398.0</v>
      </c>
      <c r="AT12" s="24">
        <v>325.0</v>
      </c>
      <c r="AU12" s="24">
        <v>345.0</v>
      </c>
      <c r="AV12" s="24">
        <v>294.0</v>
      </c>
      <c r="AW12" s="24">
        <v>281.0</v>
      </c>
      <c r="AX12" s="24">
        <v>405.0</v>
      </c>
      <c r="AY12" s="24">
        <v>376.0</v>
      </c>
      <c r="AZ12" s="24">
        <v>358.0</v>
      </c>
      <c r="BA12" s="24">
        <v>345.0</v>
      </c>
      <c r="BB12" s="24">
        <v>343.0</v>
      </c>
      <c r="BC12" s="24">
        <v>330.0</v>
      </c>
      <c r="BD12" s="24">
        <v>307.0</v>
      </c>
      <c r="BE12" s="24">
        <v>296.0</v>
      </c>
      <c r="BF12" s="24">
        <v>286.0</v>
      </c>
      <c r="BG12" s="24">
        <v>263.0</v>
      </c>
      <c r="BH12" s="24">
        <v>281.0</v>
      </c>
      <c r="BI12" s="24">
        <v>266.0</v>
      </c>
      <c r="BJ12" s="24">
        <v>263.0</v>
      </c>
      <c r="BK12" s="24">
        <v>252.0</v>
      </c>
      <c r="BL12" s="24">
        <v>229.0</v>
      </c>
      <c r="BM12" s="24">
        <v>224.0</v>
      </c>
      <c r="BN12" s="24">
        <v>211.0</v>
      </c>
      <c r="BO12" s="24">
        <v>203.0</v>
      </c>
      <c r="BP12" s="24">
        <v>210.0</v>
      </c>
      <c r="BQ12" s="24">
        <v>285.0</v>
      </c>
      <c r="BR12" s="24">
        <v>342.0</v>
      </c>
      <c r="BS12" s="24">
        <v>319.0</v>
      </c>
      <c r="BT12" s="24">
        <v>333.0</v>
      </c>
      <c r="BU12" s="24">
        <v>365.0</v>
      </c>
      <c r="BV12" s="24">
        <v>375.0</v>
      </c>
      <c r="BW12" s="24">
        <v>373.0</v>
      </c>
      <c r="BX12" s="24">
        <v>466.0</v>
      </c>
      <c r="BY12" s="24">
        <v>454.0</v>
      </c>
      <c r="BZ12" s="24">
        <v>441.0</v>
      </c>
      <c r="CA12" s="24">
        <v>464.0</v>
      </c>
      <c r="CB12" s="24">
        <v>468.0</v>
      </c>
      <c r="CC12" s="24">
        <v>430.0</v>
      </c>
      <c r="CD12" s="24">
        <v>436.0</v>
      </c>
      <c r="CE12" s="24">
        <v>419.0</v>
      </c>
    </row>
    <row r="13">
      <c r="A13" s="3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4"/>
      <c r="AM13" s="24"/>
      <c r="AN13" s="24"/>
      <c r="AO13" s="24"/>
      <c r="AP13" s="24"/>
      <c r="AQ13" s="24"/>
      <c r="AR13" s="24"/>
      <c r="AS13" s="24">
        <v>31.0</v>
      </c>
      <c r="AT13" s="24">
        <v>20.0</v>
      </c>
      <c r="AU13" s="24">
        <v>91.0</v>
      </c>
      <c r="AV13" s="24">
        <v>152.0</v>
      </c>
      <c r="AW13" s="24">
        <v>0.0</v>
      </c>
      <c r="AX13" s="24">
        <v>0.0</v>
      </c>
      <c r="AY13" s="24">
        <v>0.0</v>
      </c>
      <c r="AZ13" s="24">
        <v>106.0</v>
      </c>
      <c r="BA13" s="24">
        <v>132.0</v>
      </c>
      <c r="BB13" s="24">
        <v>143.0</v>
      </c>
      <c r="BC13" s="24">
        <v>192.0</v>
      </c>
      <c r="BD13" s="24">
        <v>226.0</v>
      </c>
      <c r="BE13" s="24">
        <v>241.0</v>
      </c>
      <c r="BF13" s="24">
        <v>238.0</v>
      </c>
      <c r="BG13" s="24">
        <v>231.0</v>
      </c>
      <c r="BH13" s="24">
        <v>219.0</v>
      </c>
      <c r="BI13" s="24">
        <v>221.0</v>
      </c>
      <c r="BJ13" s="24">
        <v>248.0</v>
      </c>
      <c r="BK13" s="24">
        <v>265.0</v>
      </c>
      <c r="BL13" s="24">
        <v>243.0</v>
      </c>
      <c r="BM13" s="24">
        <v>245.0</v>
      </c>
      <c r="BN13" s="24">
        <v>242.0</v>
      </c>
      <c r="BO13" s="24">
        <v>239.0</v>
      </c>
      <c r="BP13" s="24">
        <v>261.0</v>
      </c>
      <c r="BQ13" s="24">
        <v>247.0</v>
      </c>
      <c r="BR13" s="24">
        <v>247.0</v>
      </c>
      <c r="BS13" s="24">
        <v>220.0</v>
      </c>
      <c r="BT13" s="24">
        <v>228.0</v>
      </c>
      <c r="BU13" s="24">
        <v>363.0</v>
      </c>
      <c r="BV13" s="24">
        <v>355.0</v>
      </c>
      <c r="BW13" s="24">
        <v>358.0</v>
      </c>
      <c r="BX13" s="24">
        <v>356.0</v>
      </c>
      <c r="BY13" s="24">
        <v>432.0</v>
      </c>
      <c r="BZ13" s="24">
        <v>516.0</v>
      </c>
      <c r="CA13" s="24">
        <v>536.0</v>
      </c>
      <c r="CB13" s="24">
        <v>520.0</v>
      </c>
      <c r="CC13" s="24">
        <v>512.0</v>
      </c>
      <c r="CD13" s="24">
        <v>547.0</v>
      </c>
      <c r="CE13" s="24">
        <v>568.0</v>
      </c>
    </row>
    <row r="14">
      <c r="A14" s="3" t="s">
        <v>73</v>
      </c>
      <c r="B14" s="33">
        <v>247.0</v>
      </c>
      <c r="C14" s="33">
        <v>248.0</v>
      </c>
      <c r="D14" s="33">
        <v>248.0</v>
      </c>
      <c r="E14" s="33">
        <v>243.0</v>
      </c>
      <c r="F14" s="33">
        <v>246.0</v>
      </c>
      <c r="G14" s="33">
        <v>248.0</v>
      </c>
      <c r="H14" s="33">
        <v>247.0</v>
      </c>
      <c r="I14" s="33">
        <v>248.0</v>
      </c>
      <c r="J14" s="33">
        <v>249.0</v>
      </c>
      <c r="K14" s="33">
        <v>240.0</v>
      </c>
      <c r="L14" s="33">
        <v>210.0</v>
      </c>
      <c r="M14" s="33">
        <v>248.0</v>
      </c>
      <c r="N14" s="33">
        <v>250.0</v>
      </c>
      <c r="O14" s="33">
        <v>247.0</v>
      </c>
      <c r="P14" s="33">
        <v>246.0</v>
      </c>
      <c r="Q14" s="33">
        <v>245.0</v>
      </c>
      <c r="R14" s="33">
        <v>250.0</v>
      </c>
      <c r="S14" s="33">
        <v>249.0</v>
      </c>
      <c r="T14" s="15">
        <v>249.0</v>
      </c>
      <c r="U14" s="15">
        <v>243.0</v>
      </c>
      <c r="V14" s="15">
        <v>248.0</v>
      </c>
      <c r="W14" s="15">
        <v>244.0</v>
      </c>
      <c r="X14" s="15">
        <v>246.0</v>
      </c>
      <c r="Y14" s="15">
        <v>248.0</v>
      </c>
      <c r="Z14" s="15">
        <v>246.0</v>
      </c>
      <c r="AA14" s="15">
        <v>241.0</v>
      </c>
      <c r="AB14" s="15">
        <v>245.0</v>
      </c>
      <c r="AC14" s="15">
        <v>248.0</v>
      </c>
      <c r="AD14" s="15">
        <v>248.0</v>
      </c>
      <c r="AE14" s="15">
        <v>256.0</v>
      </c>
      <c r="AF14" s="15">
        <v>259.0</v>
      </c>
      <c r="AG14" s="15">
        <v>260.0</v>
      </c>
      <c r="AH14" s="22">
        <v>257.0</v>
      </c>
      <c r="AI14" s="3">
        <v>232.0</v>
      </c>
      <c r="AJ14" s="3">
        <v>217.0</v>
      </c>
      <c r="AK14" s="3">
        <v>198.0</v>
      </c>
      <c r="AL14" s="24">
        <v>207.0</v>
      </c>
      <c r="AM14" s="24">
        <v>196.0</v>
      </c>
      <c r="AN14" s="24">
        <v>237.0</v>
      </c>
      <c r="AO14" s="24">
        <v>223.0</v>
      </c>
      <c r="AP14" s="24">
        <v>216.0</v>
      </c>
      <c r="AQ14" s="24">
        <v>195.0</v>
      </c>
      <c r="AR14" s="24">
        <v>191.0</v>
      </c>
      <c r="AS14" s="24">
        <v>182.0</v>
      </c>
      <c r="AT14" s="24">
        <v>208.0</v>
      </c>
      <c r="AU14" s="24">
        <v>196.0</v>
      </c>
      <c r="AV14" s="24">
        <v>159.0</v>
      </c>
      <c r="AW14" s="24">
        <v>158.0</v>
      </c>
      <c r="AX14" s="24">
        <v>196.0</v>
      </c>
      <c r="AY14" s="24">
        <v>189.0</v>
      </c>
      <c r="AZ14" s="24">
        <v>173.0</v>
      </c>
      <c r="BA14" s="24">
        <v>151.0</v>
      </c>
      <c r="BB14" s="24">
        <v>190.0</v>
      </c>
      <c r="BC14" s="24">
        <v>210.0</v>
      </c>
      <c r="BD14" s="24">
        <v>220.0</v>
      </c>
      <c r="BE14" s="24">
        <v>222.0</v>
      </c>
      <c r="BF14" s="24">
        <v>225.0</v>
      </c>
      <c r="BG14" s="24">
        <v>218.0</v>
      </c>
      <c r="BH14" s="24">
        <v>235.0</v>
      </c>
      <c r="BI14" s="24">
        <v>238.0</v>
      </c>
      <c r="BJ14" s="24">
        <v>229.0</v>
      </c>
      <c r="BK14" s="24">
        <v>237.0</v>
      </c>
      <c r="BL14" s="24">
        <v>232.0</v>
      </c>
      <c r="BM14" s="24">
        <v>238.0</v>
      </c>
      <c r="BN14" s="24">
        <v>222.0</v>
      </c>
      <c r="BO14" s="24">
        <v>208.0</v>
      </c>
      <c r="BP14" s="24">
        <v>195.0</v>
      </c>
      <c r="BQ14" s="24">
        <v>206.0</v>
      </c>
      <c r="BR14" s="24">
        <v>254.0</v>
      </c>
      <c r="BS14" s="24">
        <v>259.0</v>
      </c>
      <c r="BT14" s="24">
        <v>255.0</v>
      </c>
      <c r="BU14" s="24">
        <v>249.0</v>
      </c>
      <c r="BV14" s="24">
        <v>258.0</v>
      </c>
      <c r="BW14" s="24">
        <v>254.0</v>
      </c>
      <c r="BX14" s="24">
        <v>254.0</v>
      </c>
      <c r="BY14" s="24">
        <v>254.0</v>
      </c>
      <c r="BZ14" s="24">
        <v>224.0</v>
      </c>
      <c r="CA14" s="24">
        <v>201.0</v>
      </c>
      <c r="CB14" s="24">
        <v>174.0</v>
      </c>
      <c r="CC14" s="24">
        <v>172.0</v>
      </c>
      <c r="CD14" s="24">
        <v>170.0</v>
      </c>
      <c r="CE14" s="24">
        <v>260.0</v>
      </c>
    </row>
    <row r="15">
      <c r="B15" s="33"/>
      <c r="Q15" s="33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</row>
    <row r="16">
      <c r="A16" s="3" t="s">
        <v>74</v>
      </c>
      <c r="B16" s="33"/>
      <c r="Q16" s="33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</row>
    <row r="17">
      <c r="A17" s="3" t="s">
        <v>76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40"/>
      <c r="AK17" s="40"/>
      <c r="AL17" s="31"/>
      <c r="AM17" s="31"/>
      <c r="AN17" s="31"/>
      <c r="AO17" s="31"/>
      <c r="AP17" s="31">
        <v>98.0</v>
      </c>
      <c r="AQ17" s="31">
        <v>79.0</v>
      </c>
      <c r="AR17" s="31">
        <v>69.0</v>
      </c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  <c r="CC17" s="31"/>
      <c r="CD17" s="31"/>
      <c r="CE17" s="31"/>
    </row>
    <row r="18">
      <c r="A18" s="3" t="s">
        <v>77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3">
        <v>119.0</v>
      </c>
      <c r="AA18" s="3">
        <v>142.0</v>
      </c>
      <c r="AB18" s="3">
        <v>139.0</v>
      </c>
      <c r="AC18" s="3">
        <v>149.0</v>
      </c>
      <c r="AD18" s="3">
        <v>145.0</v>
      </c>
      <c r="AE18" s="3">
        <v>148.0</v>
      </c>
      <c r="AF18" s="3">
        <v>150.0</v>
      </c>
      <c r="AG18" s="3">
        <v>150.0</v>
      </c>
      <c r="AH18" s="3">
        <v>138.0</v>
      </c>
      <c r="AI18" s="3">
        <v>147.0</v>
      </c>
      <c r="AJ18" s="40">
        <v>147.0</v>
      </c>
      <c r="AK18" s="40">
        <v>149.0</v>
      </c>
      <c r="AL18" s="31">
        <v>138.0</v>
      </c>
      <c r="AM18" s="31">
        <v>136.0</v>
      </c>
      <c r="AN18" s="31">
        <v>118.0</v>
      </c>
      <c r="AO18" s="31">
        <v>111.0</v>
      </c>
      <c r="AP18" s="31">
        <v>107.0</v>
      </c>
      <c r="AQ18" s="31">
        <v>109.0</v>
      </c>
      <c r="AR18" s="31">
        <v>115.0</v>
      </c>
      <c r="AS18" s="31">
        <v>90.0</v>
      </c>
      <c r="AT18" s="31">
        <v>78.0</v>
      </c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  <c r="CC18" s="31"/>
      <c r="CD18" s="31"/>
      <c r="CE18" s="31"/>
    </row>
    <row r="19">
      <c r="A19" s="3" t="s">
        <v>79</v>
      </c>
      <c r="B19" s="22"/>
      <c r="F19" s="14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3">
        <v>346.0</v>
      </c>
      <c r="AH19" s="3">
        <v>338.0</v>
      </c>
      <c r="AI19" s="3">
        <v>310.0</v>
      </c>
      <c r="AJ19" s="3">
        <v>295.0</v>
      </c>
      <c r="AK19" s="3">
        <v>282.0</v>
      </c>
      <c r="AL19" s="31">
        <v>251.0</v>
      </c>
      <c r="AM19" s="31">
        <v>254.0</v>
      </c>
      <c r="AN19" s="31">
        <v>237.0</v>
      </c>
      <c r="AO19" s="31">
        <v>231.0</v>
      </c>
      <c r="AP19" s="31">
        <v>223.0</v>
      </c>
      <c r="AQ19" s="31">
        <v>208.0</v>
      </c>
      <c r="AR19" s="31">
        <v>195.0</v>
      </c>
      <c r="AS19" s="31">
        <v>40.0</v>
      </c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  <c r="CC19" s="31"/>
      <c r="CD19" s="31"/>
      <c r="CE19" s="31"/>
    </row>
    <row r="20">
      <c r="A20" s="3" t="s">
        <v>80</v>
      </c>
      <c r="B20" s="22"/>
      <c r="F20" s="14"/>
      <c r="J20" s="22"/>
      <c r="U20" s="3">
        <v>31.0</v>
      </c>
      <c r="V20" s="3">
        <v>37.0</v>
      </c>
      <c r="W20" s="3">
        <v>41.0</v>
      </c>
      <c r="X20" s="3">
        <v>41.0</v>
      </c>
      <c r="Y20" s="3">
        <v>43.0</v>
      </c>
      <c r="Z20" s="3">
        <v>45.0</v>
      </c>
      <c r="AA20" s="3">
        <v>39.0</v>
      </c>
      <c r="AB20" s="3">
        <v>42.0</v>
      </c>
      <c r="AC20" s="3">
        <v>54.0</v>
      </c>
      <c r="AD20" s="3">
        <v>51.0</v>
      </c>
      <c r="AE20" s="3">
        <v>48.0</v>
      </c>
      <c r="AF20" s="3">
        <v>34.0</v>
      </c>
      <c r="AG20" s="3">
        <v>45.0</v>
      </c>
      <c r="AH20" s="3">
        <v>46.0</v>
      </c>
      <c r="AI20" s="3">
        <v>34.0</v>
      </c>
      <c r="AJ20" s="3">
        <v>17.0</v>
      </c>
      <c r="AK20" s="3">
        <v>16.0</v>
      </c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</row>
    <row r="21">
      <c r="A21" s="3" t="s">
        <v>81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3">
        <v>246.0</v>
      </c>
      <c r="X21" s="3">
        <v>253.0</v>
      </c>
      <c r="Y21" s="3">
        <v>246.0</v>
      </c>
      <c r="Z21" s="3">
        <v>232.0</v>
      </c>
      <c r="AA21" s="3">
        <v>249.0</v>
      </c>
      <c r="AB21" s="3">
        <v>250.0</v>
      </c>
      <c r="AC21" s="3">
        <v>240.0</v>
      </c>
      <c r="AD21" s="3">
        <v>293.0</v>
      </c>
      <c r="AE21" s="3">
        <v>390.0</v>
      </c>
      <c r="AF21" s="3">
        <v>403.0</v>
      </c>
      <c r="AG21" s="3">
        <v>405.0</v>
      </c>
      <c r="AH21" s="3">
        <v>338.0</v>
      </c>
      <c r="AI21" s="3">
        <v>254.0</v>
      </c>
      <c r="AJ21" s="3">
        <v>234.0</v>
      </c>
      <c r="AK21" s="3">
        <v>222.0</v>
      </c>
      <c r="AL21" s="31">
        <v>208.0</v>
      </c>
      <c r="AM21" s="31">
        <v>203.0</v>
      </c>
      <c r="AN21" s="31">
        <v>191.0</v>
      </c>
      <c r="AO21" s="31">
        <v>183.0</v>
      </c>
      <c r="AP21" s="31">
        <v>182.0</v>
      </c>
      <c r="AQ21" s="31">
        <v>170.0</v>
      </c>
      <c r="AR21" s="31">
        <v>170.0</v>
      </c>
      <c r="AS21" s="31">
        <v>158.0</v>
      </c>
      <c r="AT21" s="31">
        <v>154.0</v>
      </c>
      <c r="AU21" s="31">
        <v>153.0</v>
      </c>
      <c r="AV21" s="31">
        <v>145.0</v>
      </c>
      <c r="AW21" s="31">
        <v>137.0</v>
      </c>
      <c r="AX21" s="31">
        <v>123.0</v>
      </c>
      <c r="AY21" s="31">
        <v>119.0</v>
      </c>
      <c r="AZ21" s="31">
        <v>110.0</v>
      </c>
      <c r="BA21" s="31">
        <v>99.0</v>
      </c>
      <c r="BB21" s="31">
        <v>111.0</v>
      </c>
      <c r="BC21" s="31">
        <v>101.0</v>
      </c>
      <c r="BD21" s="31">
        <v>91.0</v>
      </c>
      <c r="BE21" s="31">
        <v>56.0</v>
      </c>
      <c r="BF21" s="31"/>
      <c r="BG21" s="31"/>
      <c r="BH21" s="31"/>
      <c r="BI21" s="31"/>
      <c r="BJ21" s="31"/>
      <c r="BK21" s="31"/>
      <c r="BL21" s="31"/>
      <c r="BM21" s="31"/>
      <c r="BN21" s="31"/>
      <c r="BO21" s="31"/>
      <c r="BP21" s="31"/>
      <c r="BQ21" s="31"/>
      <c r="BR21" s="31"/>
      <c r="BS21" s="31"/>
      <c r="BT21" s="31"/>
      <c r="BU21" s="31"/>
      <c r="BV21" s="31"/>
      <c r="BW21" s="31"/>
      <c r="BX21" s="31"/>
      <c r="BY21" s="31"/>
      <c r="BZ21" s="31"/>
      <c r="CA21" s="31"/>
      <c r="CB21" s="31"/>
      <c r="CC21" s="31"/>
      <c r="CD21" s="31"/>
      <c r="CE21" s="31"/>
    </row>
    <row r="22">
      <c r="A22" s="3" t="s">
        <v>82</v>
      </c>
      <c r="B22" s="22"/>
      <c r="F22" s="14"/>
      <c r="J22" s="22"/>
      <c r="AA22" s="3">
        <v>367.0</v>
      </c>
      <c r="AB22" s="3">
        <v>568.0</v>
      </c>
      <c r="AC22" s="3">
        <v>841.0</v>
      </c>
      <c r="AD22" s="3">
        <v>987.0</v>
      </c>
      <c r="AE22" s="3">
        <v>1000.0</v>
      </c>
      <c r="AF22" s="3">
        <v>994.0</v>
      </c>
      <c r="AG22" s="3">
        <v>1009.0</v>
      </c>
      <c r="AH22" s="3">
        <v>981.0</v>
      </c>
      <c r="AI22" s="3">
        <v>950.0</v>
      </c>
      <c r="AJ22" s="3">
        <v>975.0</v>
      </c>
      <c r="AK22" s="3">
        <v>897.0</v>
      </c>
      <c r="AL22" s="31">
        <v>850.0</v>
      </c>
      <c r="AM22" s="31">
        <v>789.0</v>
      </c>
      <c r="AN22" s="31">
        <v>796.0</v>
      </c>
      <c r="AO22" s="31">
        <v>831.0</v>
      </c>
      <c r="AP22" s="31">
        <v>893.0</v>
      </c>
      <c r="AQ22" s="31">
        <v>881.0</v>
      </c>
      <c r="AR22" s="31">
        <v>891.0</v>
      </c>
      <c r="AS22" s="31">
        <v>860.0</v>
      </c>
      <c r="AT22" s="31">
        <v>879.0</v>
      </c>
      <c r="AU22" s="31">
        <v>822.0</v>
      </c>
      <c r="AV22" s="31">
        <v>794.0</v>
      </c>
      <c r="AW22" s="31">
        <v>711.0</v>
      </c>
      <c r="AX22" s="31">
        <v>752.0</v>
      </c>
      <c r="AY22" s="31">
        <v>720.0</v>
      </c>
      <c r="AZ22" s="31">
        <v>720.0</v>
      </c>
      <c r="BA22" s="31">
        <v>741.0</v>
      </c>
      <c r="BB22" s="31">
        <v>780.0</v>
      </c>
      <c r="BC22" s="31">
        <v>749.0</v>
      </c>
      <c r="BD22" s="31">
        <v>748.0</v>
      </c>
      <c r="BE22" s="31">
        <v>797.0</v>
      </c>
      <c r="BF22" s="31">
        <v>783.0</v>
      </c>
      <c r="BG22" s="31">
        <v>762.0</v>
      </c>
      <c r="BH22" s="31">
        <v>709.0</v>
      </c>
      <c r="BI22" s="31">
        <v>728.0</v>
      </c>
      <c r="BJ22" s="31">
        <v>718.0</v>
      </c>
      <c r="BK22" s="31">
        <v>702.0</v>
      </c>
      <c r="BL22" s="31">
        <v>702.0</v>
      </c>
      <c r="BM22" s="31">
        <v>713.0</v>
      </c>
      <c r="BN22" s="31">
        <v>762.0</v>
      </c>
      <c r="BO22" s="31">
        <v>771.0</v>
      </c>
      <c r="BP22" s="31">
        <v>812.0</v>
      </c>
      <c r="BQ22" s="31">
        <v>832.0</v>
      </c>
      <c r="BR22" s="31">
        <v>817.0</v>
      </c>
      <c r="BS22" s="31">
        <v>802.0</v>
      </c>
      <c r="BT22" s="31">
        <v>857.0</v>
      </c>
      <c r="BU22" s="31">
        <v>866.0</v>
      </c>
      <c r="BV22" s="31">
        <v>826.0</v>
      </c>
      <c r="BW22" s="31">
        <v>811.0</v>
      </c>
      <c r="BX22" s="31">
        <v>751.0</v>
      </c>
      <c r="BY22" s="31">
        <v>628.0</v>
      </c>
      <c r="BZ22" s="31">
        <v>529.0</v>
      </c>
      <c r="CA22" s="31">
        <v>425.0</v>
      </c>
      <c r="CB22" s="31">
        <v>312.0</v>
      </c>
      <c r="CC22" s="31">
        <v>185.0</v>
      </c>
      <c r="CD22" s="31">
        <v>123.0</v>
      </c>
      <c r="CE22" s="31"/>
    </row>
    <row r="23">
      <c r="A23" s="3" t="s">
        <v>83</v>
      </c>
      <c r="B23" s="22"/>
      <c r="E23" s="3">
        <v>206.0</v>
      </c>
      <c r="F23" s="3">
        <v>246.0</v>
      </c>
      <c r="G23" s="3">
        <v>253.0</v>
      </c>
      <c r="H23" s="3">
        <v>277.0</v>
      </c>
      <c r="I23" s="3">
        <v>295.0</v>
      </c>
      <c r="J23" s="3">
        <v>282.0</v>
      </c>
      <c r="K23" s="3">
        <v>294.0</v>
      </c>
      <c r="L23" s="3">
        <v>302.0</v>
      </c>
      <c r="M23" s="3">
        <v>313.0</v>
      </c>
      <c r="N23" s="3">
        <v>322.0</v>
      </c>
      <c r="O23" s="3">
        <v>329.0</v>
      </c>
      <c r="P23" s="3">
        <v>329.0</v>
      </c>
      <c r="Q23" s="3">
        <v>326.0</v>
      </c>
      <c r="R23" s="3">
        <v>388.0</v>
      </c>
      <c r="S23" s="3">
        <v>388.0</v>
      </c>
      <c r="T23" s="3">
        <v>384.0</v>
      </c>
      <c r="U23" s="3">
        <v>376.0</v>
      </c>
      <c r="V23" s="3">
        <v>385.0</v>
      </c>
      <c r="W23" s="3">
        <v>389.0</v>
      </c>
      <c r="X23" s="3">
        <v>380.0</v>
      </c>
      <c r="Y23" s="3">
        <v>385.0</v>
      </c>
      <c r="Z23" s="3">
        <v>381.0</v>
      </c>
      <c r="AA23" s="3">
        <v>373.0</v>
      </c>
      <c r="AB23" s="3">
        <v>378.0</v>
      </c>
      <c r="AC23" s="3">
        <v>369.0</v>
      </c>
      <c r="AD23" s="3">
        <v>358.0</v>
      </c>
      <c r="AE23" s="3">
        <v>398.0</v>
      </c>
      <c r="AF23" s="3">
        <v>393.0</v>
      </c>
      <c r="AG23" s="3">
        <v>377.0</v>
      </c>
      <c r="AH23" s="3">
        <v>368.0</v>
      </c>
      <c r="AI23" s="3">
        <v>344.0</v>
      </c>
      <c r="AJ23" s="3">
        <v>355.0</v>
      </c>
      <c r="AK23" s="3">
        <v>354.0</v>
      </c>
      <c r="AL23" s="31">
        <v>353.0</v>
      </c>
      <c r="AM23" s="31">
        <v>344.0</v>
      </c>
      <c r="AN23" s="31">
        <v>310.0</v>
      </c>
      <c r="AO23" s="31">
        <v>309.0</v>
      </c>
      <c r="AP23" s="31">
        <v>297.0</v>
      </c>
      <c r="AQ23" s="31">
        <v>279.0</v>
      </c>
      <c r="AR23" s="31">
        <v>258.0</v>
      </c>
      <c r="AS23" s="31">
        <v>226.0</v>
      </c>
      <c r="AT23" s="31">
        <v>80.0</v>
      </c>
      <c r="AU23" s="31"/>
      <c r="AV23" s="31"/>
      <c r="AW23" s="31"/>
      <c r="AX23" s="31"/>
      <c r="AY23" s="31"/>
      <c r="AZ23" s="31"/>
      <c r="BA23" s="31"/>
      <c r="BB23" s="31"/>
      <c r="BC23" s="31"/>
      <c r="BD23" s="31"/>
      <c r="BE23" s="31"/>
      <c r="BF23" s="31"/>
      <c r="BG23" s="31"/>
      <c r="BH23" s="31"/>
      <c r="BI23" s="31"/>
      <c r="BJ23" s="31"/>
      <c r="BK23" s="31"/>
      <c r="BL23" s="31"/>
      <c r="BM23" s="31"/>
      <c r="BN23" s="31"/>
      <c r="BO23" s="31"/>
      <c r="BP23" s="31"/>
      <c r="BQ23" s="31"/>
      <c r="BR23" s="31"/>
      <c r="BS23" s="31"/>
      <c r="BT23" s="31"/>
      <c r="BU23" s="31"/>
      <c r="BV23" s="31"/>
      <c r="BW23" s="31"/>
      <c r="BX23" s="31"/>
      <c r="BY23" s="31"/>
      <c r="BZ23" s="31"/>
      <c r="CA23" s="31"/>
      <c r="CB23" s="31"/>
      <c r="CC23" s="31"/>
      <c r="CD23" s="31"/>
      <c r="CE23" s="31"/>
    </row>
    <row r="24">
      <c r="A24" s="3" t="s">
        <v>84</v>
      </c>
      <c r="B24" s="22"/>
      <c r="F24" s="14"/>
      <c r="J24" s="22"/>
      <c r="N24" s="3">
        <v>60.0</v>
      </c>
      <c r="O24" s="3">
        <v>61.0</v>
      </c>
      <c r="S24" s="3">
        <v>397.0</v>
      </c>
      <c r="T24" s="3">
        <v>870.0</v>
      </c>
      <c r="U24" s="3">
        <v>973.0</v>
      </c>
      <c r="V24" s="3">
        <v>1272.0</v>
      </c>
      <c r="W24" s="3">
        <v>1291.0</v>
      </c>
      <c r="X24" s="3">
        <v>1264.0</v>
      </c>
      <c r="Y24" s="3">
        <v>1385.0</v>
      </c>
      <c r="Z24" s="3">
        <v>1501.0</v>
      </c>
      <c r="AA24" s="3">
        <v>2030.0</v>
      </c>
      <c r="AB24" s="3">
        <v>2305.0</v>
      </c>
      <c r="AC24" s="3">
        <v>2391.0</v>
      </c>
      <c r="AD24" s="3">
        <v>2536.0</v>
      </c>
      <c r="AE24" s="3">
        <v>2539.0</v>
      </c>
      <c r="AF24" s="3">
        <v>2547.0</v>
      </c>
      <c r="AG24" s="3">
        <v>2549.0</v>
      </c>
      <c r="AH24" s="3">
        <v>2535.0</v>
      </c>
      <c r="AI24" s="3">
        <v>2451.0</v>
      </c>
      <c r="AJ24" s="3">
        <v>2442.0</v>
      </c>
      <c r="AK24" s="3">
        <v>2298.0</v>
      </c>
      <c r="AL24" s="31">
        <v>2235.0</v>
      </c>
      <c r="AM24" s="31">
        <v>2150.0</v>
      </c>
      <c r="AN24" s="31">
        <v>2038.0</v>
      </c>
      <c r="AO24" s="31">
        <v>1896.0</v>
      </c>
      <c r="AP24" s="31">
        <v>1570.0</v>
      </c>
      <c r="AQ24" s="31">
        <v>1462.0</v>
      </c>
      <c r="AR24" s="31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3" t="s">
        <v>85</v>
      </c>
      <c r="B25" s="22"/>
      <c r="F25" s="14"/>
      <c r="J25" s="22"/>
      <c r="AC25" s="3">
        <v>66.0</v>
      </c>
      <c r="AD25" s="3">
        <v>106.0</v>
      </c>
      <c r="AE25" s="3">
        <v>113.0</v>
      </c>
      <c r="AF25" s="3">
        <v>156.0</v>
      </c>
      <c r="AG25" s="3">
        <v>115.0</v>
      </c>
      <c r="AH25" s="3">
        <v>113.0</v>
      </c>
      <c r="AI25" s="3">
        <v>107.0</v>
      </c>
      <c r="AJ25" s="3">
        <v>107.0</v>
      </c>
      <c r="AK25" s="3">
        <v>25.0</v>
      </c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</row>
    <row r="26">
      <c r="A26" s="3" t="s">
        <v>86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3">
        <v>1530.0</v>
      </c>
      <c r="R26" s="3">
        <v>1529.0</v>
      </c>
      <c r="S26" s="3">
        <v>1156.0</v>
      </c>
      <c r="T26" s="3">
        <v>1532.0</v>
      </c>
      <c r="U26" s="3">
        <v>1533.0</v>
      </c>
      <c r="V26" s="3">
        <v>1499.0</v>
      </c>
      <c r="W26" s="3">
        <v>1531.0</v>
      </c>
      <c r="X26" s="3">
        <v>1507.0</v>
      </c>
      <c r="Y26" s="3">
        <v>1488.0</v>
      </c>
      <c r="Z26" s="3">
        <v>1478.0</v>
      </c>
      <c r="AA26" s="3">
        <v>1455.0</v>
      </c>
      <c r="AB26" s="3">
        <v>1388.0</v>
      </c>
      <c r="AC26" s="3">
        <v>1366.0</v>
      </c>
      <c r="AD26" s="3">
        <v>1478.0</v>
      </c>
      <c r="AE26" s="3">
        <v>1492.0</v>
      </c>
      <c r="AF26" s="3">
        <v>1522.0</v>
      </c>
      <c r="AG26" s="3">
        <v>1411.0</v>
      </c>
      <c r="AH26" s="3">
        <v>1384.0</v>
      </c>
      <c r="AI26" s="3">
        <v>1371.0</v>
      </c>
      <c r="AJ26" s="3">
        <v>1294.0</v>
      </c>
      <c r="AK26" s="3">
        <v>1215.0</v>
      </c>
      <c r="AL26" s="24">
        <v>1180.0</v>
      </c>
      <c r="AM26" s="24">
        <v>1171.0</v>
      </c>
      <c r="AN26" s="24">
        <v>1166.0</v>
      </c>
      <c r="AO26" s="24">
        <v>1152.0</v>
      </c>
      <c r="AP26" s="24">
        <v>1204.0</v>
      </c>
      <c r="AQ26" s="24">
        <v>1167.0</v>
      </c>
      <c r="AR26" s="24">
        <v>1198.0</v>
      </c>
      <c r="AS26" s="24">
        <v>1153.0</v>
      </c>
      <c r="AT26" s="11">
        <v>1090.0</v>
      </c>
      <c r="AU26" s="11">
        <v>1028.0</v>
      </c>
      <c r="AV26" s="11">
        <v>974.0</v>
      </c>
      <c r="AW26" s="11">
        <v>949.0</v>
      </c>
      <c r="AX26" s="11">
        <v>891.0</v>
      </c>
      <c r="AY26" s="11">
        <v>869.0</v>
      </c>
      <c r="AZ26" s="11">
        <v>827.0</v>
      </c>
      <c r="BA26" s="11">
        <v>788.0</v>
      </c>
      <c r="BB26" s="11">
        <v>748.0</v>
      </c>
      <c r="BC26" s="11">
        <v>808.0</v>
      </c>
      <c r="BD26" s="11">
        <v>706.0</v>
      </c>
      <c r="BE26" s="11">
        <v>691.0</v>
      </c>
      <c r="BF26" s="11">
        <v>717.0</v>
      </c>
      <c r="BG26" s="11">
        <v>774.0</v>
      </c>
      <c r="BH26" s="11">
        <v>759.0</v>
      </c>
      <c r="BI26" s="11">
        <v>757.0</v>
      </c>
      <c r="BJ26" s="11">
        <v>745.0</v>
      </c>
      <c r="BK26" s="11">
        <v>752.0</v>
      </c>
      <c r="BL26" s="11">
        <v>720.0</v>
      </c>
      <c r="BM26" s="11">
        <v>705.0</v>
      </c>
      <c r="BN26" s="11">
        <v>731.0</v>
      </c>
      <c r="BO26" s="11">
        <v>739.0</v>
      </c>
      <c r="BP26" s="11">
        <v>792.0</v>
      </c>
      <c r="BQ26" s="11">
        <v>834.0</v>
      </c>
      <c r="BR26" s="11">
        <v>868.0</v>
      </c>
      <c r="BS26" s="11">
        <v>924.0</v>
      </c>
      <c r="BT26" s="11">
        <v>933.0</v>
      </c>
      <c r="BU26" s="11">
        <v>915.0</v>
      </c>
      <c r="BV26" s="11">
        <v>904.0</v>
      </c>
      <c r="BW26" s="11">
        <v>835.0</v>
      </c>
      <c r="BX26" s="11">
        <v>400.0</v>
      </c>
      <c r="BY26" s="11"/>
      <c r="BZ26" s="11"/>
      <c r="CA26" s="11"/>
      <c r="CB26" s="11"/>
      <c r="CC26" s="11"/>
      <c r="CD26" s="11"/>
      <c r="CE26" s="11"/>
    </row>
    <row r="27">
      <c r="A27" s="3" t="s">
        <v>87</v>
      </c>
      <c r="B27" s="22"/>
      <c r="F27" s="14"/>
      <c r="J27" s="22"/>
      <c r="O27" s="15">
        <v>377.0</v>
      </c>
      <c r="P27" s="15">
        <v>603.0</v>
      </c>
      <c r="Q27" s="15">
        <v>602.0</v>
      </c>
      <c r="R27" s="15">
        <v>598.0</v>
      </c>
      <c r="S27" s="15">
        <v>625.0</v>
      </c>
      <c r="T27" s="15">
        <v>616.0</v>
      </c>
      <c r="U27" s="15">
        <v>616.0</v>
      </c>
      <c r="V27" s="15">
        <v>628.0</v>
      </c>
      <c r="W27" s="15">
        <v>607.0</v>
      </c>
      <c r="X27" s="15">
        <v>619.0</v>
      </c>
      <c r="Y27" s="15">
        <v>606.0</v>
      </c>
      <c r="Z27" s="15">
        <v>617.0</v>
      </c>
      <c r="AA27" s="15">
        <v>615.0</v>
      </c>
      <c r="AB27" s="15">
        <v>589.0</v>
      </c>
      <c r="AC27" s="15">
        <v>588.0</v>
      </c>
      <c r="AD27" s="15">
        <v>591.0</v>
      </c>
      <c r="AE27" s="15">
        <v>602.0</v>
      </c>
      <c r="AF27" s="15">
        <v>601.0</v>
      </c>
      <c r="AG27" s="15">
        <v>600.0</v>
      </c>
      <c r="AH27" s="22">
        <v>597.0</v>
      </c>
      <c r="AI27" s="3">
        <v>577.0</v>
      </c>
      <c r="AJ27" s="3">
        <v>571.0</v>
      </c>
      <c r="AK27" s="3">
        <v>553.0</v>
      </c>
      <c r="AL27" s="24">
        <v>546.0</v>
      </c>
      <c r="AM27" s="24">
        <v>544.0</v>
      </c>
      <c r="AN27" s="24">
        <v>532.0</v>
      </c>
      <c r="AO27" s="24">
        <v>581.0</v>
      </c>
      <c r="AP27" s="24">
        <v>557.0</v>
      </c>
      <c r="AQ27" s="24">
        <v>572.0</v>
      </c>
      <c r="AR27" s="24">
        <v>518.0</v>
      </c>
      <c r="AS27" s="24">
        <v>481.0</v>
      </c>
      <c r="AT27" s="24">
        <v>459.0</v>
      </c>
      <c r="AU27" s="24">
        <v>449.0</v>
      </c>
      <c r="AV27" s="24">
        <v>424.0</v>
      </c>
      <c r="AW27" s="24">
        <v>406.0</v>
      </c>
      <c r="AX27" s="24">
        <v>381.0</v>
      </c>
      <c r="AY27" s="24">
        <v>384.0</v>
      </c>
      <c r="AZ27" s="24">
        <v>352.0</v>
      </c>
      <c r="BA27" s="24">
        <v>311.0</v>
      </c>
      <c r="BB27" s="24">
        <v>427.0</v>
      </c>
      <c r="BC27" s="24">
        <v>402.0</v>
      </c>
      <c r="BD27" s="24">
        <v>366.0</v>
      </c>
      <c r="BE27" s="24">
        <v>366.0</v>
      </c>
      <c r="BF27" s="24">
        <v>348.0</v>
      </c>
      <c r="BG27" s="24">
        <v>374.0</v>
      </c>
      <c r="BH27" s="24">
        <v>398.0</v>
      </c>
      <c r="BI27" s="24">
        <v>381.0</v>
      </c>
      <c r="BJ27" s="24">
        <v>379.0</v>
      </c>
      <c r="BK27" s="24">
        <v>374.0</v>
      </c>
      <c r="BL27" s="24">
        <v>405.0</v>
      </c>
      <c r="BM27" s="24">
        <v>379.0</v>
      </c>
      <c r="BN27" s="24">
        <v>384.0</v>
      </c>
      <c r="BO27" s="24">
        <v>380.0</v>
      </c>
      <c r="BP27" s="24">
        <v>331.0</v>
      </c>
      <c r="BQ27" s="24">
        <v>307.0</v>
      </c>
      <c r="BR27" s="24">
        <v>271.0</v>
      </c>
      <c r="BS27" s="24">
        <v>249.0</v>
      </c>
      <c r="BT27" s="24">
        <v>177.0</v>
      </c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</row>
    <row r="28">
      <c r="A28" s="3" t="s">
        <v>88</v>
      </c>
      <c r="B28" s="33">
        <v>100.0</v>
      </c>
      <c r="C28" s="33">
        <v>97.0</v>
      </c>
      <c r="D28" s="33">
        <v>97.0</v>
      </c>
      <c r="E28" s="33">
        <v>80.0</v>
      </c>
      <c r="F28" s="33">
        <v>103.0</v>
      </c>
      <c r="G28" s="33">
        <v>86.0</v>
      </c>
      <c r="H28" s="33">
        <v>101.0</v>
      </c>
      <c r="I28" s="33">
        <v>101.0</v>
      </c>
      <c r="J28" s="33">
        <v>100.0</v>
      </c>
      <c r="K28" s="33">
        <v>96.0</v>
      </c>
      <c r="L28" s="33">
        <v>101.0</v>
      </c>
      <c r="M28" s="33">
        <v>101.0</v>
      </c>
      <c r="N28" s="33">
        <v>101.0</v>
      </c>
      <c r="O28" s="15">
        <v>91.0</v>
      </c>
      <c r="P28" s="15">
        <v>99.0</v>
      </c>
      <c r="Q28" s="15">
        <v>101.0</v>
      </c>
      <c r="R28" s="15">
        <v>99.0</v>
      </c>
      <c r="S28" s="15">
        <v>99.0</v>
      </c>
      <c r="T28" s="15">
        <v>98.0</v>
      </c>
      <c r="U28" s="15">
        <v>99.0</v>
      </c>
      <c r="V28" s="15">
        <v>99.0</v>
      </c>
      <c r="W28" s="15">
        <v>99.0</v>
      </c>
      <c r="X28" s="15">
        <v>98.0</v>
      </c>
      <c r="Y28" s="15">
        <v>94.0</v>
      </c>
      <c r="Z28" s="15">
        <v>93.0</v>
      </c>
      <c r="AA28" s="15">
        <v>95.0</v>
      </c>
      <c r="AB28" s="15">
        <v>93.0</v>
      </c>
      <c r="AC28" s="15">
        <v>98.0</v>
      </c>
      <c r="AD28" s="15">
        <v>95.0</v>
      </c>
      <c r="AE28" s="15">
        <v>98.0</v>
      </c>
      <c r="AF28" s="15">
        <v>99.0</v>
      </c>
      <c r="AG28" s="15">
        <v>100.0</v>
      </c>
      <c r="AH28" s="22">
        <v>98.0</v>
      </c>
      <c r="AI28" s="3">
        <v>90.0</v>
      </c>
      <c r="AJ28" s="3">
        <v>94.0</v>
      </c>
      <c r="AK28" s="3">
        <v>92.0</v>
      </c>
      <c r="AL28" s="24">
        <v>88.0</v>
      </c>
      <c r="AM28" s="24">
        <v>91.0</v>
      </c>
      <c r="AN28" s="24">
        <v>87.0</v>
      </c>
      <c r="AO28" s="24">
        <v>75.0</v>
      </c>
      <c r="AP28" s="24">
        <v>61.0</v>
      </c>
      <c r="AQ28" s="24">
        <v>57.0</v>
      </c>
      <c r="AR28" s="24">
        <v>32.0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</row>
    <row r="29">
      <c r="A29" s="3" t="s">
        <v>89</v>
      </c>
      <c r="B29" s="33"/>
      <c r="F29" s="14"/>
      <c r="J29" s="22"/>
      <c r="O29" s="15"/>
      <c r="AG29" s="3">
        <v>202.0</v>
      </c>
      <c r="AH29" s="3">
        <v>202.0</v>
      </c>
      <c r="AI29" s="3">
        <v>202.0</v>
      </c>
      <c r="AJ29" s="3">
        <v>201.0</v>
      </c>
      <c r="AK29" s="3">
        <v>200.0</v>
      </c>
      <c r="AL29" s="24">
        <v>206.0</v>
      </c>
      <c r="AM29" s="24">
        <v>196.0</v>
      </c>
      <c r="AN29" s="24">
        <v>196.0</v>
      </c>
      <c r="AO29" s="24">
        <v>193.0</v>
      </c>
      <c r="AP29" s="24">
        <v>189.0</v>
      </c>
      <c r="AQ29" s="24">
        <v>185.0</v>
      </c>
      <c r="AR29" s="24">
        <v>165.0</v>
      </c>
      <c r="AS29" s="24">
        <v>187.0</v>
      </c>
      <c r="AT29" s="24">
        <v>188.0</v>
      </c>
      <c r="AU29" s="24">
        <v>183.0</v>
      </c>
      <c r="AV29" s="24">
        <v>175.0</v>
      </c>
      <c r="AW29" s="24">
        <v>180.0</v>
      </c>
      <c r="AX29" s="24">
        <v>165.0</v>
      </c>
      <c r="AY29" s="24">
        <v>194.0</v>
      </c>
      <c r="AZ29" s="24">
        <v>173.0</v>
      </c>
      <c r="BA29" s="24">
        <v>173.0</v>
      </c>
      <c r="BB29" s="24">
        <v>155.0</v>
      </c>
      <c r="BC29" s="24">
        <v>141.0</v>
      </c>
      <c r="BD29" s="24">
        <v>137.0</v>
      </c>
      <c r="BE29" s="24">
        <v>127.0</v>
      </c>
      <c r="BF29" s="24">
        <v>142.0</v>
      </c>
      <c r="BG29" s="24">
        <v>123.0</v>
      </c>
      <c r="BH29" s="24">
        <v>119.0</v>
      </c>
      <c r="BI29" s="24">
        <v>119.0</v>
      </c>
      <c r="BJ29" s="24">
        <v>118.0</v>
      </c>
      <c r="BK29" s="24">
        <v>129.0</v>
      </c>
      <c r="BL29" s="24">
        <v>142.0</v>
      </c>
      <c r="BM29" s="24">
        <v>140.0</v>
      </c>
      <c r="BN29" s="24">
        <v>140.0</v>
      </c>
      <c r="BO29" s="24">
        <v>132.0</v>
      </c>
      <c r="BP29" s="24">
        <v>150.0</v>
      </c>
      <c r="BQ29" s="24">
        <v>145.0</v>
      </c>
      <c r="BR29" s="24">
        <v>147.0</v>
      </c>
      <c r="BS29" s="24">
        <v>143.0</v>
      </c>
      <c r="BT29" s="24">
        <v>89.0</v>
      </c>
      <c r="BU29" s="24">
        <v>85.0</v>
      </c>
      <c r="BV29" s="24">
        <v>72.0</v>
      </c>
      <c r="BW29" s="24"/>
      <c r="BX29" s="24"/>
      <c r="BY29" s="24"/>
      <c r="BZ29" s="24"/>
      <c r="CA29" s="24"/>
      <c r="CB29" s="24"/>
      <c r="CC29" s="24"/>
      <c r="CD29" s="24"/>
      <c r="CE29" s="24"/>
    </row>
    <row r="30">
      <c r="A30" s="3" t="s">
        <v>90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3">
        <v>159.0</v>
      </c>
      <c r="S30" s="3">
        <v>159.0</v>
      </c>
      <c r="T30" s="3">
        <v>158.0</v>
      </c>
      <c r="U30" s="3">
        <v>156.0</v>
      </c>
      <c r="V30" s="3">
        <v>157.0</v>
      </c>
      <c r="W30" s="3">
        <v>155.0</v>
      </c>
      <c r="X30" s="3">
        <v>158.0</v>
      </c>
      <c r="Y30" s="3">
        <v>151.0</v>
      </c>
      <c r="Z30" s="3">
        <v>149.0</v>
      </c>
      <c r="AA30" s="3">
        <v>151.0</v>
      </c>
      <c r="AB30" s="3">
        <v>153.0</v>
      </c>
      <c r="AC30" s="3">
        <v>157.0</v>
      </c>
      <c r="AD30" s="3">
        <v>154.0</v>
      </c>
      <c r="AE30" s="3">
        <v>154.0</v>
      </c>
      <c r="AF30" s="3">
        <v>113.0</v>
      </c>
      <c r="AG30" s="3">
        <v>159.0</v>
      </c>
      <c r="AH30" s="3">
        <v>257.0</v>
      </c>
      <c r="AI30" s="3">
        <v>131.0</v>
      </c>
      <c r="AJ30" s="3">
        <v>145.0</v>
      </c>
      <c r="AK30" s="3">
        <v>150.0</v>
      </c>
      <c r="AL30" s="24">
        <v>146.0</v>
      </c>
      <c r="AM30" s="24">
        <v>142.0</v>
      </c>
      <c r="AN30" s="24">
        <v>131.0</v>
      </c>
      <c r="AO30" s="24">
        <v>133.0</v>
      </c>
      <c r="AP30" s="24">
        <v>121.0</v>
      </c>
      <c r="AQ30" s="24">
        <v>117.0</v>
      </c>
      <c r="AR30" s="24">
        <v>113.0</v>
      </c>
      <c r="AS30" s="24">
        <v>105.0</v>
      </c>
      <c r="AT30" s="24">
        <v>92.0</v>
      </c>
      <c r="AU30" s="24">
        <v>75.0</v>
      </c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</row>
    <row r="31">
      <c r="A31" s="3" t="s">
        <v>91</v>
      </c>
      <c r="B31" s="33"/>
      <c r="F31" s="14"/>
      <c r="H31" s="3">
        <v>48.0</v>
      </c>
      <c r="I31" s="3">
        <v>131.0</v>
      </c>
      <c r="J31" s="3">
        <v>126.0</v>
      </c>
      <c r="K31" s="3">
        <v>125.0</v>
      </c>
      <c r="L31" s="3">
        <v>155.0</v>
      </c>
      <c r="M31" s="3">
        <v>154.0</v>
      </c>
      <c r="N31" s="3">
        <v>153.0</v>
      </c>
      <c r="O31" s="3">
        <v>150.0</v>
      </c>
      <c r="P31" s="3">
        <v>152.0</v>
      </c>
      <c r="Q31" s="3">
        <v>155.0</v>
      </c>
      <c r="R31" s="3">
        <v>155.0</v>
      </c>
      <c r="S31" s="3">
        <v>155.0</v>
      </c>
      <c r="T31" s="3">
        <v>154.0</v>
      </c>
      <c r="U31" s="3">
        <v>153.0</v>
      </c>
      <c r="V31" s="3">
        <v>146.0</v>
      </c>
      <c r="W31" s="3">
        <v>155.0</v>
      </c>
      <c r="X31" s="3">
        <v>154.0</v>
      </c>
      <c r="Y31" s="3">
        <v>153.0</v>
      </c>
      <c r="Z31" s="3">
        <v>154.0</v>
      </c>
      <c r="AA31" s="3">
        <v>151.0</v>
      </c>
      <c r="AB31" s="3">
        <v>153.0</v>
      </c>
      <c r="AC31" s="3">
        <v>154.0</v>
      </c>
      <c r="AD31" s="3">
        <v>154.0</v>
      </c>
      <c r="AE31" s="3">
        <v>157.0</v>
      </c>
      <c r="AF31" s="3">
        <v>155.0</v>
      </c>
      <c r="AG31" s="3">
        <v>160.0</v>
      </c>
      <c r="AH31" s="3">
        <v>156.0</v>
      </c>
      <c r="AI31" s="3">
        <v>154.0</v>
      </c>
      <c r="AJ31" s="3">
        <v>148.0</v>
      </c>
      <c r="AK31" s="3">
        <v>135.0</v>
      </c>
      <c r="AL31" s="24">
        <v>117.0</v>
      </c>
      <c r="AM31" s="24">
        <v>100.0</v>
      </c>
      <c r="AN31" s="24">
        <v>106.0</v>
      </c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</row>
    <row r="32">
      <c r="A32" s="3" t="s">
        <v>92</v>
      </c>
      <c r="B32" s="33"/>
      <c r="F32" s="3">
        <v>25.0</v>
      </c>
      <c r="G32" s="3">
        <v>40.0</v>
      </c>
      <c r="H32" s="3">
        <v>40.0</v>
      </c>
      <c r="N32" s="15">
        <v>50.0</v>
      </c>
      <c r="O32" s="15">
        <v>50.0</v>
      </c>
      <c r="P32" s="15">
        <v>50.0</v>
      </c>
      <c r="Q32" s="15">
        <v>49.0</v>
      </c>
      <c r="R32" s="15">
        <v>51.0</v>
      </c>
      <c r="S32" s="15">
        <v>50.0</v>
      </c>
      <c r="T32" s="15">
        <v>47.0</v>
      </c>
      <c r="U32" s="15">
        <v>50.0</v>
      </c>
      <c r="V32" s="15">
        <v>50.0</v>
      </c>
      <c r="W32" s="15">
        <v>50.0</v>
      </c>
      <c r="X32" s="15">
        <v>49.0</v>
      </c>
      <c r="Y32" s="15">
        <v>47.0</v>
      </c>
      <c r="Z32" s="15">
        <v>47.0</v>
      </c>
      <c r="AA32" s="15">
        <v>47.0</v>
      </c>
      <c r="AB32" s="15">
        <v>51.0</v>
      </c>
      <c r="AC32" s="15">
        <v>50.0</v>
      </c>
      <c r="AD32" s="15">
        <v>49.0</v>
      </c>
      <c r="AE32" s="15">
        <v>49.0</v>
      </c>
      <c r="AF32" s="15">
        <v>50.0</v>
      </c>
      <c r="AG32" s="15">
        <v>49.0</v>
      </c>
      <c r="AH32" s="22">
        <v>48.0</v>
      </c>
      <c r="AI32" s="3">
        <v>48.0</v>
      </c>
      <c r="AJ32" s="3">
        <v>48.0</v>
      </c>
      <c r="AK32" s="3">
        <v>35.0</v>
      </c>
      <c r="AL32" s="24">
        <v>33.0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</row>
    <row r="33">
      <c r="A33" s="3" t="s">
        <v>93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3">
        <v>174.0</v>
      </c>
      <c r="AE33" s="3">
        <v>178.0</v>
      </c>
      <c r="AF33" s="3">
        <v>181.0</v>
      </c>
      <c r="AG33" s="3">
        <v>180.0</v>
      </c>
      <c r="AH33" s="3">
        <v>180.0</v>
      </c>
      <c r="AI33" s="3">
        <v>173.0</v>
      </c>
      <c r="AJ33" s="3">
        <v>166.0</v>
      </c>
      <c r="AK33" s="3">
        <v>163.0</v>
      </c>
      <c r="AL33" s="24">
        <v>149.0</v>
      </c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</row>
    <row r="34">
      <c r="A34" s="3" t="s">
        <v>94</v>
      </c>
      <c r="B34" s="22"/>
      <c r="J34" s="22"/>
      <c r="O34" s="15"/>
      <c r="X34" s="3">
        <v>201.0</v>
      </c>
      <c r="Y34" s="3">
        <v>187.0</v>
      </c>
      <c r="Z34" s="3">
        <v>186.0</v>
      </c>
      <c r="AA34" s="3">
        <v>185.0</v>
      </c>
      <c r="AB34" s="3">
        <v>195.0</v>
      </c>
      <c r="AC34" s="3">
        <v>200.0</v>
      </c>
      <c r="AD34" s="3">
        <v>200.0</v>
      </c>
      <c r="AE34" s="3">
        <v>199.0</v>
      </c>
      <c r="AF34" s="3">
        <v>199.0</v>
      </c>
      <c r="AG34" s="3">
        <v>199.0</v>
      </c>
      <c r="AH34" s="3">
        <v>199.0</v>
      </c>
      <c r="AI34" s="3">
        <v>191.0</v>
      </c>
      <c r="AJ34" s="3">
        <v>162.0</v>
      </c>
      <c r="AK34" s="3">
        <v>144.0</v>
      </c>
      <c r="AL34" s="24">
        <v>128.0</v>
      </c>
      <c r="AM34" s="24">
        <v>115.0</v>
      </c>
      <c r="AN34" s="24">
        <v>106.0</v>
      </c>
      <c r="AO34" s="24">
        <v>98.0</v>
      </c>
      <c r="AP34" s="24">
        <v>187.0</v>
      </c>
      <c r="AQ34" s="24">
        <v>167.0</v>
      </c>
      <c r="AR34" s="24">
        <v>167.0</v>
      </c>
      <c r="AS34" s="24">
        <v>162.0</v>
      </c>
      <c r="AT34" s="24">
        <v>144.0</v>
      </c>
      <c r="AU34" s="24">
        <v>141.0</v>
      </c>
      <c r="AV34" s="24">
        <v>130.0</v>
      </c>
      <c r="AW34" s="24">
        <v>129.0</v>
      </c>
      <c r="AX34" s="24">
        <v>131.0</v>
      </c>
      <c r="AY34" s="24">
        <v>133.0</v>
      </c>
      <c r="AZ34" s="24">
        <v>133.0</v>
      </c>
      <c r="BA34" s="24">
        <v>119.0</v>
      </c>
      <c r="BB34" s="24">
        <v>121.0</v>
      </c>
      <c r="BC34" s="24">
        <v>106.0</v>
      </c>
      <c r="BD34" s="24">
        <v>98.0</v>
      </c>
      <c r="BE34" s="24">
        <v>97.0</v>
      </c>
      <c r="BF34" s="24">
        <v>88.0</v>
      </c>
      <c r="BG34" s="24">
        <v>80.0</v>
      </c>
      <c r="BH34" s="24">
        <v>81.0</v>
      </c>
      <c r="BI34" s="24">
        <v>73.0</v>
      </c>
      <c r="BJ34" s="24">
        <v>82.0</v>
      </c>
      <c r="BK34" s="24">
        <v>125.0</v>
      </c>
      <c r="BL34" s="24">
        <v>144.0</v>
      </c>
      <c r="BM34" s="24">
        <v>133.0</v>
      </c>
      <c r="BN34" s="24">
        <v>136.0</v>
      </c>
      <c r="BO34" s="24">
        <v>174.0</v>
      </c>
      <c r="BP34" s="24">
        <v>169.0</v>
      </c>
      <c r="BQ34" s="24">
        <v>176.0</v>
      </c>
      <c r="BR34" s="24">
        <v>169.0</v>
      </c>
      <c r="BS34" s="24">
        <v>165.0</v>
      </c>
      <c r="BT34" s="24">
        <v>165.0</v>
      </c>
      <c r="BU34" s="24">
        <v>157.0</v>
      </c>
      <c r="BV34" s="24">
        <v>159.0</v>
      </c>
      <c r="BW34" s="24">
        <v>147.0</v>
      </c>
      <c r="BX34" s="24">
        <v>137.0</v>
      </c>
      <c r="BY34" s="24">
        <v>122.0</v>
      </c>
      <c r="BZ34" s="24"/>
      <c r="CA34" s="24"/>
      <c r="CB34" s="24"/>
      <c r="CC34" s="24"/>
      <c r="CD34" s="24"/>
      <c r="CE34" s="24"/>
    </row>
    <row r="35">
      <c r="A35" s="3" t="s">
        <v>95</v>
      </c>
      <c r="B35" s="22"/>
      <c r="J35" s="22"/>
      <c r="O35" s="15"/>
      <c r="Q35" s="15">
        <v>100.0</v>
      </c>
      <c r="R35" s="15">
        <v>650.0</v>
      </c>
      <c r="S35" s="15">
        <v>647.0</v>
      </c>
      <c r="T35" s="15">
        <v>881.0</v>
      </c>
      <c r="U35" s="15">
        <v>890.0</v>
      </c>
      <c r="V35" s="15">
        <v>895.0</v>
      </c>
      <c r="W35" s="15">
        <v>882.0</v>
      </c>
      <c r="X35" s="15">
        <v>1127.0</v>
      </c>
      <c r="Y35" s="15">
        <v>1127.0</v>
      </c>
      <c r="Z35" s="15">
        <v>1128.0</v>
      </c>
      <c r="AA35" s="15">
        <v>1135.0</v>
      </c>
      <c r="AB35" s="15">
        <v>1114.0</v>
      </c>
      <c r="AC35" s="15">
        <v>1132.0</v>
      </c>
      <c r="AD35" s="15">
        <v>1134.0</v>
      </c>
      <c r="AE35" s="15">
        <v>1126.0</v>
      </c>
      <c r="AF35" s="15">
        <v>1129.0</v>
      </c>
      <c r="AG35" s="15">
        <v>1109.0</v>
      </c>
      <c r="AH35" s="22">
        <v>1129.0</v>
      </c>
      <c r="AI35" s="3">
        <v>1128.0</v>
      </c>
      <c r="AJ35" s="3">
        <v>1068.0</v>
      </c>
      <c r="AK35" s="3">
        <v>1039.0</v>
      </c>
      <c r="AL35" s="24">
        <v>1064.0</v>
      </c>
      <c r="AM35" s="24">
        <v>1010.0</v>
      </c>
      <c r="AN35" s="24">
        <v>1006.0</v>
      </c>
      <c r="AO35" s="24">
        <v>929.0</v>
      </c>
      <c r="AP35" s="24">
        <v>858.0</v>
      </c>
      <c r="AQ35" s="24">
        <v>815.0</v>
      </c>
      <c r="AR35" s="24">
        <v>888.0</v>
      </c>
      <c r="AS35" s="24">
        <v>816.0</v>
      </c>
      <c r="AT35" s="24">
        <v>901.0</v>
      </c>
      <c r="AU35" s="24">
        <v>871.0</v>
      </c>
      <c r="AV35" s="24">
        <v>894.0</v>
      </c>
      <c r="AW35" s="24">
        <v>988.0</v>
      </c>
      <c r="AX35" s="24">
        <v>913.0</v>
      </c>
      <c r="AY35" s="24">
        <v>833.0</v>
      </c>
      <c r="AZ35" s="24">
        <v>800.0</v>
      </c>
      <c r="BA35" s="24">
        <v>806.0</v>
      </c>
      <c r="BB35" s="24">
        <v>743.0</v>
      </c>
      <c r="BC35" s="24">
        <v>711.0</v>
      </c>
      <c r="BD35" s="24">
        <v>656.0</v>
      </c>
      <c r="BE35" s="24">
        <v>553.0</v>
      </c>
      <c r="BF35" s="24">
        <v>496.0</v>
      </c>
      <c r="BG35" s="24">
        <v>437.0</v>
      </c>
      <c r="BH35" s="24">
        <v>399.0</v>
      </c>
      <c r="BI35" s="24">
        <v>399.0</v>
      </c>
      <c r="BJ35" s="24">
        <v>360.0</v>
      </c>
      <c r="BK35" s="24">
        <v>337.0</v>
      </c>
      <c r="BL35" s="24">
        <v>352.0</v>
      </c>
      <c r="BM35" s="24">
        <v>341.0</v>
      </c>
      <c r="BN35" s="24">
        <v>323.0</v>
      </c>
      <c r="BO35" s="24">
        <v>317.0</v>
      </c>
      <c r="BP35" s="24">
        <v>301.0</v>
      </c>
      <c r="BQ35" s="24">
        <v>146.0</v>
      </c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</row>
    <row r="36">
      <c r="A36" s="3" t="s">
        <v>96</v>
      </c>
      <c r="B36" s="22"/>
      <c r="J36" s="22"/>
      <c r="O36" s="15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3">
        <v>184.0</v>
      </c>
      <c r="AI36" s="3">
        <v>184.0</v>
      </c>
      <c r="AJ36" s="3">
        <v>184.0</v>
      </c>
      <c r="AK36" s="3">
        <v>183.0</v>
      </c>
      <c r="AL36" s="24">
        <v>184.0</v>
      </c>
      <c r="AM36" s="24">
        <v>176.0</v>
      </c>
      <c r="AN36" s="24">
        <v>170.0</v>
      </c>
      <c r="AO36" s="24">
        <v>158.0</v>
      </c>
      <c r="AP36" s="24">
        <v>158.0</v>
      </c>
      <c r="AQ36" s="24">
        <v>151.0</v>
      </c>
      <c r="AR36" s="24">
        <v>137.0</v>
      </c>
      <c r="AS36" s="24">
        <v>125.0</v>
      </c>
      <c r="AT36" s="24">
        <v>110.0</v>
      </c>
      <c r="AU36" s="24">
        <v>114.0</v>
      </c>
      <c r="AV36" s="24">
        <v>84.0</v>
      </c>
      <c r="AW36" s="24">
        <v>69.0</v>
      </c>
      <c r="AX36" s="24">
        <v>106.0</v>
      </c>
      <c r="AY36" s="24">
        <v>107.0</v>
      </c>
      <c r="AZ36" s="24">
        <v>105.0</v>
      </c>
      <c r="BA36" s="24">
        <v>109.0</v>
      </c>
      <c r="BB36" s="24">
        <v>95.0</v>
      </c>
      <c r="BC36" s="24">
        <v>115.0</v>
      </c>
      <c r="BD36" s="24">
        <v>119.0</v>
      </c>
      <c r="BE36" s="24">
        <v>121.0</v>
      </c>
      <c r="BF36" s="24">
        <v>113.0</v>
      </c>
      <c r="BG36" s="24">
        <v>151.0</v>
      </c>
      <c r="BH36" s="24">
        <v>147.0</v>
      </c>
      <c r="BI36" s="24">
        <v>153.0</v>
      </c>
      <c r="BJ36" s="24">
        <v>147.0</v>
      </c>
      <c r="BK36" s="24">
        <v>177.0</v>
      </c>
      <c r="BL36" s="24">
        <v>183.0</v>
      </c>
      <c r="BM36" s="24">
        <v>176.0</v>
      </c>
      <c r="BN36" s="24">
        <v>177.0</v>
      </c>
      <c r="BO36" s="24">
        <v>184.0</v>
      </c>
      <c r="BP36" s="24">
        <v>177.0</v>
      </c>
      <c r="BQ36" s="24">
        <v>181.0</v>
      </c>
      <c r="BR36" s="24">
        <v>176.0</v>
      </c>
      <c r="BS36" s="24">
        <v>178.0</v>
      </c>
      <c r="BT36" s="24">
        <v>178.0</v>
      </c>
      <c r="BU36" s="24">
        <v>174.0</v>
      </c>
      <c r="BV36" s="24">
        <v>181.0</v>
      </c>
      <c r="BW36" s="24">
        <v>184.0</v>
      </c>
      <c r="BX36" s="24">
        <v>174.0</v>
      </c>
      <c r="BY36" s="24">
        <v>163.0</v>
      </c>
      <c r="BZ36" s="24">
        <v>150.0</v>
      </c>
      <c r="CA36" s="24">
        <v>108.0</v>
      </c>
      <c r="CB36" s="24"/>
      <c r="CC36" s="24"/>
      <c r="CD36" s="24"/>
      <c r="CE36" s="24"/>
    </row>
    <row r="37">
      <c r="A37" s="3" t="s">
        <v>97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3">
        <v>174.0</v>
      </c>
      <c r="AA37" s="3">
        <v>180.0</v>
      </c>
      <c r="AB37" s="3">
        <v>200.0</v>
      </c>
      <c r="AC37" s="3">
        <v>198.0</v>
      </c>
      <c r="AD37" s="3">
        <v>199.0</v>
      </c>
      <c r="AE37" s="3">
        <v>200.0</v>
      </c>
      <c r="AF37" s="3">
        <v>196.0</v>
      </c>
      <c r="AG37" s="3">
        <v>198.0</v>
      </c>
      <c r="AH37" s="3">
        <v>187.0</v>
      </c>
      <c r="AI37" s="3">
        <v>180.0</v>
      </c>
      <c r="AJ37" s="3">
        <v>161.0</v>
      </c>
      <c r="AK37" s="3">
        <v>145.0</v>
      </c>
      <c r="AL37" s="24">
        <v>141.0</v>
      </c>
      <c r="AM37" s="24">
        <v>146.0</v>
      </c>
      <c r="AN37" s="24">
        <v>140.0</v>
      </c>
      <c r="AO37" s="24">
        <v>138.0</v>
      </c>
      <c r="AP37" s="24">
        <v>142.0</v>
      </c>
      <c r="AQ37" s="24">
        <v>142.0</v>
      </c>
      <c r="AR37" s="24">
        <v>138.0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</row>
    <row r="38">
      <c r="A38" s="3" t="s">
        <v>98</v>
      </c>
      <c r="B38" s="22">
        <v>92.0</v>
      </c>
      <c r="C38" s="22">
        <v>90.0</v>
      </c>
      <c r="J38" s="22"/>
      <c r="O38" s="15"/>
      <c r="Q38" s="22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</row>
    <row r="39">
      <c r="A39" s="3" t="s">
        <v>99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3">
        <v>1176.0</v>
      </c>
      <c r="Z39" s="3">
        <v>1185.0</v>
      </c>
      <c r="AA39" s="3">
        <v>1200.0</v>
      </c>
      <c r="AB39" s="3">
        <v>1192.0</v>
      </c>
      <c r="AC39" s="3">
        <v>1175.0</v>
      </c>
      <c r="AD39" s="3">
        <v>1178.0</v>
      </c>
      <c r="AE39" s="3">
        <v>1200.0</v>
      </c>
      <c r="AF39" s="3">
        <v>1197.0</v>
      </c>
      <c r="AG39" s="3">
        <v>1208.0</v>
      </c>
      <c r="AH39" s="3">
        <v>1192.0</v>
      </c>
      <c r="AI39" s="3">
        <v>1171.0</v>
      </c>
      <c r="AJ39" s="3">
        <v>1090.0</v>
      </c>
      <c r="AK39" s="3">
        <v>1183.0</v>
      </c>
      <c r="AL39" s="24">
        <v>1106.0</v>
      </c>
      <c r="AM39" s="24">
        <v>1087.0</v>
      </c>
      <c r="AN39" s="24">
        <v>1076.0</v>
      </c>
      <c r="AO39" s="24">
        <v>1019.0</v>
      </c>
      <c r="AP39" s="24">
        <v>981.0</v>
      </c>
      <c r="AQ39" s="24">
        <v>902.0</v>
      </c>
      <c r="AR39" s="24">
        <v>897.0</v>
      </c>
      <c r="AS39" s="24">
        <v>926.0</v>
      </c>
      <c r="AT39" s="24">
        <v>945.0</v>
      </c>
      <c r="AU39" s="24">
        <v>897.0</v>
      </c>
      <c r="AV39" s="24">
        <v>930.0</v>
      </c>
      <c r="AW39" s="24">
        <v>816.0</v>
      </c>
      <c r="AX39" s="24">
        <v>873.0</v>
      </c>
      <c r="AY39" s="24">
        <v>918.0</v>
      </c>
      <c r="AZ39" s="24">
        <v>901.0</v>
      </c>
      <c r="BA39" s="24">
        <v>828.0</v>
      </c>
      <c r="BB39" s="24">
        <v>633.0</v>
      </c>
      <c r="BC39" s="24">
        <v>507.0</v>
      </c>
      <c r="BD39" s="24">
        <v>413.0</v>
      </c>
      <c r="BE39" s="24">
        <v>322.0</v>
      </c>
      <c r="BF39" s="24">
        <v>303.0</v>
      </c>
      <c r="BG39" s="24">
        <v>313.0</v>
      </c>
      <c r="BH39" s="24">
        <v>298.0</v>
      </c>
      <c r="BI39" s="24">
        <v>273.0</v>
      </c>
      <c r="BJ39" s="24">
        <v>259.0</v>
      </c>
      <c r="BK39" s="24">
        <v>255.0</v>
      </c>
      <c r="BL39" s="24">
        <v>251.0</v>
      </c>
      <c r="BM39" s="24">
        <v>245.0</v>
      </c>
      <c r="BN39" s="24">
        <v>234.0</v>
      </c>
      <c r="BO39" s="24">
        <v>216.0</v>
      </c>
      <c r="BP39" s="24">
        <v>228.0</v>
      </c>
      <c r="BQ39" s="24">
        <v>220.0</v>
      </c>
      <c r="BR39" s="24">
        <v>210.0</v>
      </c>
      <c r="BS39" s="24">
        <v>201.0</v>
      </c>
      <c r="BT39" s="24">
        <v>50.0</v>
      </c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</row>
    <row r="40">
      <c r="A40" s="3" t="s">
        <v>100</v>
      </c>
      <c r="B40" s="22"/>
      <c r="I40" s="3">
        <v>243.0</v>
      </c>
      <c r="J40" s="3">
        <v>258.0</v>
      </c>
      <c r="K40" s="3">
        <v>276.0</v>
      </c>
      <c r="L40" s="3">
        <v>279.0</v>
      </c>
      <c r="M40" s="3">
        <v>282.0</v>
      </c>
      <c r="N40" s="3">
        <v>285.0</v>
      </c>
      <c r="O40" s="3">
        <v>285.0</v>
      </c>
      <c r="P40" s="3">
        <v>278.0</v>
      </c>
      <c r="Q40" s="3">
        <v>283.0</v>
      </c>
      <c r="R40" s="3">
        <v>281.0</v>
      </c>
      <c r="S40" s="3">
        <v>284.0</v>
      </c>
      <c r="T40" s="3">
        <v>281.0</v>
      </c>
      <c r="U40" s="3">
        <v>282.0</v>
      </c>
      <c r="V40" s="3">
        <v>280.0</v>
      </c>
      <c r="W40" s="3">
        <v>282.0</v>
      </c>
      <c r="X40" s="3">
        <v>280.0</v>
      </c>
      <c r="Y40" s="3">
        <v>278.0</v>
      </c>
      <c r="Z40" s="3">
        <v>261.0</v>
      </c>
      <c r="AA40" s="3">
        <v>279.0</v>
      </c>
      <c r="AB40" s="3">
        <v>263.0</v>
      </c>
      <c r="AC40" s="3">
        <v>278.0</v>
      </c>
      <c r="AD40" s="3">
        <v>271.0</v>
      </c>
      <c r="AE40" s="3">
        <v>267.0</v>
      </c>
      <c r="AF40" s="3">
        <v>272.0</v>
      </c>
      <c r="AG40" s="3">
        <v>268.0</v>
      </c>
      <c r="AH40" s="3">
        <v>250.0</v>
      </c>
      <c r="AI40" s="3">
        <v>256.0</v>
      </c>
      <c r="AJ40" s="3">
        <v>237.0</v>
      </c>
      <c r="AK40" s="3">
        <v>191.0</v>
      </c>
      <c r="AL40" s="24">
        <v>180.0</v>
      </c>
      <c r="AM40" s="24">
        <v>232.0</v>
      </c>
      <c r="AN40" s="24">
        <v>227.0</v>
      </c>
      <c r="AO40" s="24">
        <v>233.0</v>
      </c>
      <c r="AP40" s="24">
        <v>233.0</v>
      </c>
      <c r="AQ40" s="24">
        <v>228.0</v>
      </c>
      <c r="AR40" s="24">
        <v>221.0</v>
      </c>
      <c r="AS40" s="24">
        <v>223.0</v>
      </c>
      <c r="AT40" s="24">
        <v>214.0</v>
      </c>
      <c r="AU40" s="24">
        <v>221.0</v>
      </c>
      <c r="AV40" s="24">
        <v>225.0</v>
      </c>
      <c r="AW40" s="24">
        <v>216.0</v>
      </c>
      <c r="AX40" s="24">
        <v>216.0</v>
      </c>
      <c r="AY40" s="24">
        <v>207.0</v>
      </c>
      <c r="AZ40" s="24">
        <v>186.0</v>
      </c>
      <c r="BA40" s="24">
        <v>175.0</v>
      </c>
      <c r="BB40" s="24">
        <v>178.0</v>
      </c>
      <c r="BC40" s="24">
        <v>160.0</v>
      </c>
      <c r="BD40" s="24">
        <v>156.0</v>
      </c>
      <c r="BE40" s="24">
        <v>153.0</v>
      </c>
      <c r="BF40" s="24">
        <v>154.0</v>
      </c>
      <c r="BG40" s="24">
        <v>145.0</v>
      </c>
      <c r="BH40" s="24">
        <v>137.0</v>
      </c>
      <c r="BI40" s="24">
        <v>140.0</v>
      </c>
      <c r="BJ40" s="24">
        <v>141.0</v>
      </c>
      <c r="BK40" s="24">
        <v>151.0</v>
      </c>
      <c r="BL40" s="24">
        <v>158.0</v>
      </c>
      <c r="BM40" s="24">
        <v>149.0</v>
      </c>
      <c r="BN40" s="24">
        <v>140.0</v>
      </c>
      <c r="BO40" s="24">
        <v>137.0</v>
      </c>
      <c r="BP40" s="24">
        <v>140.0</v>
      </c>
      <c r="BQ40" s="24">
        <v>226.0</v>
      </c>
      <c r="BR40" s="24">
        <v>218.0</v>
      </c>
      <c r="BS40" s="24">
        <v>222.0</v>
      </c>
      <c r="BT40" s="24">
        <v>223.0</v>
      </c>
      <c r="BU40" s="24">
        <v>215.0</v>
      </c>
      <c r="BV40" s="24">
        <v>226.0</v>
      </c>
      <c r="BW40" s="24">
        <v>226.0</v>
      </c>
      <c r="BX40" s="24">
        <v>198.0</v>
      </c>
      <c r="BY40" s="42" t="s">
        <v>101</v>
      </c>
      <c r="BZ40" s="24">
        <v>54.0</v>
      </c>
      <c r="CA40" s="24"/>
      <c r="CB40" s="24"/>
      <c r="CC40" s="24"/>
      <c r="CD40" s="24"/>
      <c r="CE40" s="24"/>
    </row>
    <row r="41">
      <c r="A41" s="3" t="s">
        <v>102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3">
        <v>629.0</v>
      </c>
      <c r="X41" s="3">
        <v>621.0</v>
      </c>
      <c r="Y41" s="3">
        <v>611.0</v>
      </c>
      <c r="Z41" s="3">
        <v>618.0</v>
      </c>
      <c r="AA41" s="3">
        <v>621.0</v>
      </c>
      <c r="AB41" s="3">
        <v>621.0</v>
      </c>
      <c r="AC41" s="3">
        <v>619.0</v>
      </c>
      <c r="AD41" s="3">
        <v>625.0</v>
      </c>
      <c r="AE41" s="3">
        <v>623.0</v>
      </c>
      <c r="AF41" s="3">
        <v>631.0</v>
      </c>
      <c r="AG41" s="3">
        <v>642.0</v>
      </c>
      <c r="AH41" s="3">
        <v>625.0</v>
      </c>
      <c r="AI41" s="3">
        <v>616.0</v>
      </c>
      <c r="AJ41" s="3">
        <v>597.0</v>
      </c>
      <c r="AK41" s="3">
        <v>586.0</v>
      </c>
      <c r="AL41" s="24">
        <v>601.0</v>
      </c>
      <c r="AM41" s="24">
        <v>584.0</v>
      </c>
      <c r="AN41" s="24">
        <v>578.0</v>
      </c>
      <c r="AO41" s="24">
        <v>548.0</v>
      </c>
      <c r="AP41" s="24">
        <v>531.0</v>
      </c>
      <c r="AQ41" s="24">
        <v>534.0</v>
      </c>
      <c r="AR41" s="24">
        <v>499.0</v>
      </c>
      <c r="AS41" s="24">
        <v>528.0</v>
      </c>
      <c r="AT41" s="24">
        <v>577.0</v>
      </c>
      <c r="AU41" s="24">
        <v>572.0</v>
      </c>
      <c r="AV41" s="24">
        <v>545.0</v>
      </c>
      <c r="AW41" s="24">
        <v>503.0</v>
      </c>
      <c r="AX41" s="24">
        <v>84.0</v>
      </c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</row>
    <row r="42">
      <c r="A42" s="3" t="s">
        <v>103</v>
      </c>
      <c r="B42" s="22"/>
      <c r="O42" s="15"/>
      <c r="Q42" s="33">
        <v>401.0</v>
      </c>
      <c r="R42" s="33">
        <v>544.0</v>
      </c>
      <c r="S42" s="33">
        <v>804.0</v>
      </c>
      <c r="T42" s="33">
        <v>798.0</v>
      </c>
      <c r="U42" s="33">
        <v>798.0</v>
      </c>
      <c r="V42" s="33">
        <v>786.0</v>
      </c>
      <c r="W42" s="33">
        <v>795.0</v>
      </c>
      <c r="X42" s="33">
        <v>780.0</v>
      </c>
      <c r="Y42" s="33">
        <v>839.0</v>
      </c>
      <c r="Z42" s="33">
        <v>875.0</v>
      </c>
      <c r="AA42" s="33">
        <v>854.0</v>
      </c>
      <c r="AB42" s="33">
        <v>863.0</v>
      </c>
      <c r="AC42" s="15">
        <v>881.0</v>
      </c>
      <c r="AD42" s="15">
        <v>877.0</v>
      </c>
      <c r="AE42" s="15">
        <v>880.0</v>
      </c>
      <c r="AF42" s="15">
        <v>879.0</v>
      </c>
      <c r="AG42" s="15">
        <v>878.0</v>
      </c>
      <c r="AH42" s="22">
        <v>856.0</v>
      </c>
      <c r="AI42" s="3">
        <v>843.0</v>
      </c>
      <c r="AJ42" s="3">
        <v>860.0</v>
      </c>
      <c r="AK42" s="3">
        <v>854.0</v>
      </c>
      <c r="AL42" s="24">
        <v>829.0</v>
      </c>
      <c r="AM42" s="24">
        <v>839.0</v>
      </c>
      <c r="AN42" s="24">
        <v>824.0</v>
      </c>
      <c r="AO42" s="24">
        <v>758.0</v>
      </c>
      <c r="AP42" s="24">
        <v>635.0</v>
      </c>
      <c r="AQ42" s="24">
        <v>566.0</v>
      </c>
      <c r="AR42" s="24">
        <v>527.0</v>
      </c>
      <c r="AS42" s="24">
        <v>732.0</v>
      </c>
      <c r="AT42" s="24">
        <v>760.0</v>
      </c>
      <c r="AU42" s="24">
        <v>717.0</v>
      </c>
      <c r="AV42" s="24">
        <v>689.0</v>
      </c>
      <c r="AW42" s="24">
        <v>791.0</v>
      </c>
      <c r="AX42" s="24">
        <v>768.0</v>
      </c>
      <c r="AY42" s="24">
        <v>754.0</v>
      </c>
      <c r="AZ42" s="24">
        <v>708.0</v>
      </c>
      <c r="BA42" s="24">
        <v>699.0</v>
      </c>
      <c r="BB42" s="24">
        <v>654.0</v>
      </c>
      <c r="BC42" s="24">
        <v>617.0</v>
      </c>
      <c r="BD42" s="24">
        <v>596.0</v>
      </c>
      <c r="BE42" s="24">
        <v>320.0</v>
      </c>
      <c r="BF42" s="24">
        <v>528.0</v>
      </c>
      <c r="BG42" s="24">
        <v>489.0</v>
      </c>
      <c r="BH42" s="24">
        <v>470.0</v>
      </c>
      <c r="BI42" s="24">
        <v>453.0</v>
      </c>
      <c r="BJ42" s="24">
        <v>437.0</v>
      </c>
      <c r="BK42" s="24">
        <v>421.0</v>
      </c>
      <c r="BL42" s="24">
        <v>394.0</v>
      </c>
      <c r="BM42" s="24">
        <v>388.0</v>
      </c>
      <c r="BN42" s="24">
        <v>376.0</v>
      </c>
      <c r="BO42" s="24">
        <v>338.0</v>
      </c>
      <c r="BP42" s="24">
        <v>291.0</v>
      </c>
      <c r="BQ42" s="24">
        <v>366.0</v>
      </c>
      <c r="BR42" s="24">
        <v>553.0</v>
      </c>
      <c r="BS42" s="24">
        <v>571.0</v>
      </c>
      <c r="BT42" s="24">
        <v>574.0</v>
      </c>
      <c r="BU42" s="24">
        <v>556.0</v>
      </c>
      <c r="BV42" s="24">
        <v>536.0</v>
      </c>
      <c r="BW42" s="24">
        <v>602.0</v>
      </c>
      <c r="BX42" s="24">
        <v>568.0</v>
      </c>
      <c r="BY42" s="24">
        <v>534.0</v>
      </c>
      <c r="BZ42" s="24">
        <v>476.0</v>
      </c>
      <c r="CA42" s="24">
        <v>0.0</v>
      </c>
      <c r="CB42" s="24"/>
      <c r="CC42" s="24"/>
      <c r="CD42" s="24"/>
      <c r="CE42" s="24"/>
    </row>
    <row r="43">
      <c r="A43" s="3" t="s">
        <v>104</v>
      </c>
      <c r="B43" s="22"/>
      <c r="O43" s="15"/>
      <c r="Q43" s="33"/>
      <c r="T43" s="3">
        <v>144.0</v>
      </c>
      <c r="U43" s="3">
        <v>150.0</v>
      </c>
      <c r="V43" s="3">
        <v>315.0</v>
      </c>
      <c r="W43" s="3">
        <v>303.0</v>
      </c>
      <c r="X43" s="3">
        <v>300.0</v>
      </c>
      <c r="Y43" s="3">
        <v>286.0</v>
      </c>
      <c r="Z43" s="3">
        <v>299.0</v>
      </c>
      <c r="AA43" s="3">
        <v>299.0</v>
      </c>
      <c r="AB43" s="3">
        <v>298.0</v>
      </c>
      <c r="AC43" s="3">
        <v>297.0</v>
      </c>
      <c r="AD43" s="3">
        <v>299.0</v>
      </c>
      <c r="AE43" s="3">
        <v>296.0</v>
      </c>
      <c r="AF43" s="3">
        <v>298.0</v>
      </c>
      <c r="AG43" s="3">
        <v>300.0</v>
      </c>
      <c r="AH43" s="3">
        <v>295.0</v>
      </c>
      <c r="AI43" s="3">
        <v>292.0</v>
      </c>
      <c r="AJ43" s="3">
        <v>292.0</v>
      </c>
      <c r="AK43" s="3">
        <v>294.0</v>
      </c>
      <c r="AL43" s="24">
        <v>285.0</v>
      </c>
      <c r="AM43" s="24">
        <v>281.0</v>
      </c>
      <c r="AN43" s="24">
        <v>268.0</v>
      </c>
      <c r="AO43" s="24">
        <v>247.0</v>
      </c>
      <c r="AP43" s="24">
        <v>234.0</v>
      </c>
      <c r="AQ43" s="24">
        <v>216.0</v>
      </c>
      <c r="AR43" s="24">
        <v>203.0</v>
      </c>
      <c r="AS43" s="24">
        <v>182.0</v>
      </c>
      <c r="AT43" s="24">
        <v>168.0</v>
      </c>
      <c r="AU43" s="24">
        <v>197.0</v>
      </c>
      <c r="AV43" s="24">
        <v>216.0</v>
      </c>
      <c r="AW43" s="24">
        <v>213.0</v>
      </c>
      <c r="AX43" s="24">
        <v>229.0</v>
      </c>
      <c r="AY43" s="24">
        <v>202.0</v>
      </c>
      <c r="AZ43" s="24">
        <v>192.0</v>
      </c>
      <c r="BA43" s="24">
        <v>199.0</v>
      </c>
      <c r="BB43" s="24">
        <v>226.0</v>
      </c>
      <c r="BC43" s="24">
        <v>286.0</v>
      </c>
      <c r="BD43" s="24">
        <v>260.0</v>
      </c>
      <c r="BE43" s="24">
        <v>257.0</v>
      </c>
      <c r="BF43" s="24">
        <v>290.0</v>
      </c>
      <c r="BG43" s="24">
        <v>284.0</v>
      </c>
      <c r="BH43" s="24">
        <v>277.0</v>
      </c>
      <c r="BI43" s="24">
        <v>261.0</v>
      </c>
      <c r="BJ43" s="24">
        <v>276.0</v>
      </c>
      <c r="BK43" s="24">
        <v>284.0</v>
      </c>
      <c r="BL43" s="24">
        <v>282.0</v>
      </c>
      <c r="BM43" s="24">
        <v>282.0</v>
      </c>
      <c r="BN43" s="24">
        <v>279.0</v>
      </c>
      <c r="BO43" s="24">
        <v>291.0</v>
      </c>
      <c r="BP43" s="24">
        <v>285.0</v>
      </c>
      <c r="BQ43" s="24">
        <v>292.0</v>
      </c>
      <c r="BR43" s="24">
        <v>293.0</v>
      </c>
      <c r="BS43" s="24">
        <v>291.0</v>
      </c>
      <c r="BT43" s="24">
        <v>292.0</v>
      </c>
      <c r="BU43" s="24">
        <v>288.0</v>
      </c>
      <c r="BV43" s="24">
        <v>288.0</v>
      </c>
      <c r="BW43" s="24">
        <v>288.0</v>
      </c>
      <c r="BX43" s="24">
        <v>262.0</v>
      </c>
      <c r="BY43" s="24">
        <v>230.0</v>
      </c>
      <c r="BZ43" s="24">
        <v>172.0</v>
      </c>
      <c r="CA43" s="24">
        <v>128.0</v>
      </c>
      <c r="CB43" s="24">
        <v>72.0</v>
      </c>
      <c r="CC43" s="24">
        <v>0.0</v>
      </c>
      <c r="CD43" s="24"/>
      <c r="CE43" s="24"/>
    </row>
    <row r="44">
      <c r="A44" s="3" t="s">
        <v>105</v>
      </c>
      <c r="B44" s="33">
        <v>368.0</v>
      </c>
      <c r="C44" s="33">
        <v>384.0</v>
      </c>
      <c r="D44" s="33">
        <v>383.0</v>
      </c>
      <c r="E44" s="33">
        <v>393.0</v>
      </c>
      <c r="F44" s="33">
        <v>398.0</v>
      </c>
      <c r="G44" s="33">
        <v>388.0</v>
      </c>
      <c r="H44" s="33">
        <v>387.0</v>
      </c>
      <c r="I44" s="33">
        <v>392.0</v>
      </c>
      <c r="O44" s="15"/>
      <c r="Q44" s="33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</row>
    <row r="45">
      <c r="B45" s="33"/>
      <c r="Q45" s="33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4"/>
      <c r="BD45" s="24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3" t="s">
        <v>106</v>
      </c>
      <c r="B46" s="33">
        <f t="shared" ref="B46:BA46" si="6">sum(B10:B44)</f>
        <v>4647</v>
      </c>
      <c r="C46" s="33">
        <f t="shared" si="6"/>
        <v>4693</v>
      </c>
      <c r="D46" s="33">
        <f t="shared" si="6"/>
        <v>4830</v>
      </c>
      <c r="E46" s="33">
        <f t="shared" si="6"/>
        <v>5072</v>
      </c>
      <c r="F46" s="19">
        <f t="shared" si="6"/>
        <v>5166</v>
      </c>
      <c r="G46" s="33">
        <f t="shared" si="6"/>
        <v>5268</v>
      </c>
      <c r="H46" s="33">
        <f t="shared" si="6"/>
        <v>5407</v>
      </c>
      <c r="I46" s="33">
        <f t="shared" si="6"/>
        <v>5763</v>
      </c>
      <c r="J46" s="33">
        <f t="shared" si="6"/>
        <v>6054</v>
      </c>
      <c r="K46" s="33">
        <f t="shared" si="6"/>
        <v>6128</v>
      </c>
      <c r="L46" s="33">
        <f t="shared" si="6"/>
        <v>6360</v>
      </c>
      <c r="M46" s="33">
        <f t="shared" si="6"/>
        <v>6527</v>
      </c>
      <c r="N46" s="33">
        <f t="shared" si="6"/>
        <v>6662</v>
      </c>
      <c r="O46" s="33">
        <f t="shared" si="6"/>
        <v>6991</v>
      </c>
      <c r="P46" s="33">
        <f t="shared" si="6"/>
        <v>7370</v>
      </c>
      <c r="Q46" s="33">
        <f t="shared" si="6"/>
        <v>8460</v>
      </c>
      <c r="R46" s="33">
        <f t="shared" si="6"/>
        <v>9361</v>
      </c>
      <c r="S46" s="33">
        <f t="shared" si="6"/>
        <v>9860</v>
      </c>
      <c r="T46" s="33">
        <f t="shared" si="6"/>
        <v>11018</v>
      </c>
      <c r="U46" s="33">
        <f t="shared" si="6"/>
        <v>11278</v>
      </c>
      <c r="V46" s="33">
        <f t="shared" si="6"/>
        <v>11749</v>
      </c>
      <c r="W46" s="33">
        <f t="shared" si="6"/>
        <v>11750</v>
      </c>
      <c r="X46" s="33">
        <f t="shared" si="6"/>
        <v>12125</v>
      </c>
      <c r="Y46" s="33">
        <f t="shared" si="6"/>
        <v>12121</v>
      </c>
      <c r="Z46" s="33">
        <f t="shared" si="6"/>
        <v>12198</v>
      </c>
      <c r="AA46" s="33">
        <f t="shared" si="6"/>
        <v>13222</v>
      </c>
      <c r="AB46" s="33">
        <f t="shared" si="6"/>
        <v>13600</v>
      </c>
      <c r="AC46" s="33">
        <f t="shared" si="6"/>
        <v>14033</v>
      </c>
      <c r="AD46" s="33">
        <f t="shared" si="6"/>
        <v>14505</v>
      </c>
      <c r="AE46" s="33">
        <f t="shared" si="6"/>
        <v>14700</v>
      </c>
      <c r="AF46" s="33">
        <f t="shared" si="6"/>
        <v>14734</v>
      </c>
      <c r="AG46" s="33">
        <f t="shared" si="6"/>
        <v>14824</v>
      </c>
      <c r="AH46" s="33">
        <f t="shared" si="6"/>
        <v>14649</v>
      </c>
      <c r="AI46" s="33">
        <f t="shared" si="6"/>
        <v>14088</v>
      </c>
      <c r="AJ46" s="33">
        <f t="shared" si="6"/>
        <v>13749</v>
      </c>
      <c r="AK46" s="33">
        <f t="shared" si="6"/>
        <v>13156</v>
      </c>
      <c r="AL46" s="33">
        <f t="shared" si="6"/>
        <v>12722</v>
      </c>
      <c r="AM46" s="33">
        <f t="shared" si="6"/>
        <v>12350</v>
      </c>
      <c r="AN46" s="33">
        <f t="shared" si="6"/>
        <v>12084</v>
      </c>
      <c r="AO46" s="33">
        <f t="shared" si="6"/>
        <v>11592</v>
      </c>
      <c r="AP46" s="33">
        <f t="shared" si="6"/>
        <v>11207</v>
      </c>
      <c r="AQ46" s="33">
        <f t="shared" si="6"/>
        <v>10643</v>
      </c>
      <c r="AR46" s="33">
        <f t="shared" si="6"/>
        <v>10208</v>
      </c>
      <c r="AS46" s="33">
        <f t="shared" si="6"/>
        <v>9700</v>
      </c>
      <c r="AT46" s="33">
        <f t="shared" si="6"/>
        <v>9398</v>
      </c>
      <c r="AU46" s="33">
        <f t="shared" si="6"/>
        <v>8967</v>
      </c>
      <c r="AV46" s="33">
        <f t="shared" si="6"/>
        <v>8605</v>
      </c>
      <c r="AW46" s="33">
        <f t="shared" si="6"/>
        <v>8190</v>
      </c>
      <c r="AX46" s="33">
        <f t="shared" si="6"/>
        <v>7793</v>
      </c>
      <c r="AY46" s="33">
        <f t="shared" si="6"/>
        <v>7603</v>
      </c>
      <c r="AZ46" s="33">
        <f t="shared" si="6"/>
        <v>7387</v>
      </c>
      <c r="BA46" s="33">
        <f t="shared" si="6"/>
        <v>7182</v>
      </c>
      <c r="BB46" s="29">
        <f t="shared" ref="BB46:BC46" si="7">SUM(BB10:BB45)</f>
        <v>6937</v>
      </c>
      <c r="BC46" s="29">
        <f t="shared" si="7"/>
        <v>6750</v>
      </c>
      <c r="BD46" s="9">
        <f t="shared" ref="BD46:BX46" si="8">sum(BD10:BD44)</f>
        <v>6310</v>
      </c>
      <c r="BE46" s="9">
        <f t="shared" si="8"/>
        <v>5778</v>
      </c>
      <c r="BF46" s="9">
        <f t="shared" si="8"/>
        <v>5870</v>
      </c>
      <c r="BG46" s="9">
        <f t="shared" si="8"/>
        <v>5909</v>
      </c>
      <c r="BH46" s="9">
        <f t="shared" si="8"/>
        <v>5673</v>
      </c>
      <c r="BI46" s="9">
        <f t="shared" si="8"/>
        <v>5579</v>
      </c>
      <c r="BJ46" s="9">
        <f t="shared" si="8"/>
        <v>5565</v>
      </c>
      <c r="BK46" s="9">
        <f t="shared" si="8"/>
        <v>5592</v>
      </c>
      <c r="BL46" s="9">
        <f t="shared" si="8"/>
        <v>5551</v>
      </c>
      <c r="BM46" s="9">
        <f t="shared" si="8"/>
        <v>5464</v>
      </c>
      <c r="BN46" s="9">
        <f t="shared" si="8"/>
        <v>5470</v>
      </c>
      <c r="BO46" s="9">
        <f t="shared" si="8"/>
        <v>5431</v>
      </c>
      <c r="BP46" s="9">
        <f t="shared" si="8"/>
        <v>5446</v>
      </c>
      <c r="BQ46" s="9">
        <f t="shared" si="8"/>
        <v>5354</v>
      </c>
      <c r="BR46" s="9">
        <f t="shared" si="8"/>
        <v>5298</v>
      </c>
      <c r="BS46" s="9">
        <f t="shared" si="8"/>
        <v>5283</v>
      </c>
      <c r="BT46" s="9">
        <f t="shared" si="8"/>
        <v>5104</v>
      </c>
      <c r="BU46" s="9">
        <f t="shared" si="8"/>
        <v>4989</v>
      </c>
      <c r="BV46" s="9">
        <f t="shared" si="8"/>
        <v>4954</v>
      </c>
      <c r="BW46" s="9">
        <f t="shared" si="8"/>
        <v>4945</v>
      </c>
      <c r="BX46" s="9">
        <f t="shared" si="8"/>
        <v>4606</v>
      </c>
      <c r="BY46" s="9">
        <v>4142.0</v>
      </c>
      <c r="BZ46" s="9">
        <f>sum(BZ10:BZ44)</f>
        <v>3763</v>
      </c>
      <c r="CA46" s="9">
        <v>3296.0</v>
      </c>
      <c r="CB46" s="9">
        <f t="shared" ref="CB46:CE46" si="9">sum(CB10:CB44)</f>
        <v>2861</v>
      </c>
      <c r="CC46" s="9">
        <f t="shared" si="9"/>
        <v>2480</v>
      </c>
      <c r="CD46" s="9">
        <f t="shared" si="9"/>
        <v>2394</v>
      </c>
      <c r="CE46" s="9">
        <f t="shared" si="9"/>
        <v>2443</v>
      </c>
    </row>
    <row r="47">
      <c r="A47" s="3" t="s">
        <v>116</v>
      </c>
      <c r="C47" s="3">
        <v>1219.0</v>
      </c>
      <c r="D47" s="3">
        <v>1288.0</v>
      </c>
      <c r="E47" s="3">
        <v>1317.0</v>
      </c>
      <c r="F47" s="3">
        <v>1359.0</v>
      </c>
      <c r="G47" s="3">
        <v>1400.0</v>
      </c>
      <c r="H47" s="3">
        <v>1437.0</v>
      </c>
      <c r="I47" s="3">
        <v>1560.0</v>
      </c>
      <c r="J47" s="3">
        <v>1714.0</v>
      </c>
      <c r="K47" s="3">
        <v>1739.0</v>
      </c>
      <c r="L47" s="3">
        <v>1805.0</v>
      </c>
      <c r="M47" s="3">
        <v>1897.0</v>
      </c>
      <c r="N47" s="3">
        <v>1965.0</v>
      </c>
      <c r="O47" s="3">
        <v>2124.0</v>
      </c>
      <c r="P47" s="3">
        <v>2341.0</v>
      </c>
      <c r="Q47" s="3">
        <v>2676.0</v>
      </c>
      <c r="R47" s="3">
        <v>3178.0</v>
      </c>
      <c r="S47" s="3">
        <v>3556.0</v>
      </c>
      <c r="T47" s="3">
        <v>3881.0</v>
      </c>
      <c r="U47" s="3">
        <v>3881.0</v>
      </c>
      <c r="V47" s="3">
        <v>4119.0</v>
      </c>
      <c r="W47" s="3">
        <v>4117.0</v>
      </c>
      <c r="X47" s="3">
        <v>4286.0</v>
      </c>
      <c r="Y47" s="3">
        <v>4308.0</v>
      </c>
      <c r="Z47" s="3">
        <v>4339.0</v>
      </c>
      <c r="AA47" s="3">
        <v>4672.0</v>
      </c>
      <c r="AB47" s="3">
        <v>4744.0</v>
      </c>
      <c r="AC47" s="3">
        <v>4857.0</v>
      </c>
      <c r="AD47" s="3">
        <v>4998.0</v>
      </c>
      <c r="AE47" s="3">
        <v>5051.0</v>
      </c>
      <c r="AF47" s="3">
        <v>5070.0</v>
      </c>
      <c r="AG47" s="3">
        <v>5033.0</v>
      </c>
      <c r="AH47" s="3">
        <v>5016.0</v>
      </c>
      <c r="AI47" s="3">
        <v>4885.0</v>
      </c>
      <c r="AJ47" s="3">
        <v>4752.0</v>
      </c>
      <c r="AK47" s="3">
        <v>4425.0</v>
      </c>
      <c r="AL47" s="3">
        <v>4394.0</v>
      </c>
      <c r="AM47" s="3">
        <v>4276.0</v>
      </c>
      <c r="AN47" s="3">
        <v>4153.0</v>
      </c>
      <c r="AO47" s="3">
        <v>4023.0</v>
      </c>
      <c r="AP47" s="3">
        <v>3861.0</v>
      </c>
      <c r="AQ47" s="3">
        <v>3679.0</v>
      </c>
      <c r="AR47" s="3">
        <v>3521.0</v>
      </c>
      <c r="AS47" s="3">
        <v>3306.0</v>
      </c>
      <c r="AT47" s="3">
        <v>3199.0</v>
      </c>
      <c r="AU47" s="3">
        <v>3010.0</v>
      </c>
      <c r="AV47" s="3">
        <v>2847.0</v>
      </c>
      <c r="AW47" s="3">
        <v>2850.0</v>
      </c>
      <c r="AX47" s="9">
        <v>2754.0</v>
      </c>
      <c r="AY47" s="9">
        <v>2715.0</v>
      </c>
      <c r="AZ47" s="9">
        <v>2643.0</v>
      </c>
      <c r="BA47" s="9">
        <v>2558.0</v>
      </c>
      <c r="BB47" s="9">
        <v>2486.0</v>
      </c>
      <c r="BC47" s="9">
        <v>2381.0</v>
      </c>
      <c r="BD47" s="9">
        <v>2264.0</v>
      </c>
      <c r="BE47" s="9">
        <v>2131.0</v>
      </c>
      <c r="BF47" s="9">
        <v>2060.0</v>
      </c>
      <c r="BG47" s="9">
        <v>2041.0</v>
      </c>
      <c r="BH47" s="9">
        <v>2002.0</v>
      </c>
      <c r="BI47" s="9">
        <v>1966.0</v>
      </c>
      <c r="BJ47" s="9">
        <v>1971.0</v>
      </c>
      <c r="BK47" s="9">
        <v>1966.0</v>
      </c>
      <c r="BL47" s="9">
        <v>1950.0</v>
      </c>
      <c r="BM47" s="9">
        <v>1896.0</v>
      </c>
      <c r="BN47" s="9">
        <v>1883.0</v>
      </c>
      <c r="BO47" s="9">
        <v>1856.0</v>
      </c>
      <c r="BP47" s="9">
        <v>1850.0</v>
      </c>
      <c r="BQ47" s="9">
        <v>1791.0</v>
      </c>
      <c r="BR47" s="9">
        <v>1747.0</v>
      </c>
      <c r="BS47" s="9">
        <v>1759.0</v>
      </c>
      <c r="BT47" s="9">
        <v>1714.0</v>
      </c>
      <c r="BU47" s="9">
        <v>1700.0</v>
      </c>
      <c r="BV47" s="9">
        <v>1698.0</v>
      </c>
      <c r="BW47" s="9">
        <v>1706.0</v>
      </c>
      <c r="BX47" s="9">
        <v>1578.0</v>
      </c>
      <c r="BY47" s="9">
        <v>1423.0</v>
      </c>
      <c r="BZ47" s="9">
        <v>1346.0</v>
      </c>
      <c r="CA47" s="9">
        <v>1229.0</v>
      </c>
      <c r="CB47" s="9">
        <v>1160.0</v>
      </c>
      <c r="CC47" s="9">
        <v>1074.0</v>
      </c>
      <c r="CD47" s="9">
        <v>1080.0</v>
      </c>
      <c r="CE47" s="9">
        <v>1136.0</v>
      </c>
    </row>
    <row r="48">
      <c r="B48" s="33"/>
      <c r="Q48" s="33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</row>
    <row r="49">
      <c r="B49" s="33"/>
      <c r="Q49" s="15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</row>
    <row r="50">
      <c r="B50" s="33"/>
      <c r="Q50" s="15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</row>
    <row r="51">
      <c r="B51" s="33"/>
      <c r="Q51" s="15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</row>
    <row r="52">
      <c r="B52" s="33"/>
      <c r="Q52" s="15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</row>
    <row r="53">
      <c r="B53" s="33"/>
      <c r="Q53" s="15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</row>
    <row r="54">
      <c r="B54" s="33"/>
      <c r="Q54" s="15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</row>
    <row r="55">
      <c r="B55" s="33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  <c r="CE55" s="29"/>
    </row>
    <row r="56">
      <c r="B56" s="33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</row>
    <row r="57">
      <c r="B57" s="15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</row>
    <row r="58">
      <c r="B58" s="15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</row>
    <row r="59">
      <c r="B59" s="15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</row>
    <row r="60">
      <c r="B60" s="15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</row>
    <row r="61">
      <c r="B61" s="15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</row>
    <row r="62">
      <c r="B62" s="15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</row>
    <row r="63">
      <c r="B63" s="15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</row>
    <row r="64">
      <c r="B64" s="15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</row>
    <row r="65">
      <c r="B65" s="15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</row>
    <row r="66">
      <c r="B66" s="15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</row>
    <row r="67">
      <c r="B67" s="15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</row>
    <row r="68">
      <c r="B68" s="15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</row>
    <row r="69">
      <c r="B69" s="15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</row>
    <row r="70">
      <c r="B70" s="15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</row>
    <row r="71">
      <c r="B71" s="15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</row>
    <row r="72"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</row>
    <row r="73"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</row>
    <row r="74"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</row>
    <row r="75"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</row>
    <row r="76"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</row>
    <row r="77"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</row>
    <row r="78"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</row>
    <row r="79"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</row>
    <row r="80"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</row>
    <row r="81"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</row>
    <row r="82"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</row>
    <row r="83"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</row>
    <row r="84"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</row>
    <row r="85"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</row>
    <row r="86"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</row>
    <row r="87"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</row>
    <row r="88"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  <c r="CE88" s="29"/>
    </row>
    <row r="89"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</row>
    <row r="90"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  <c r="CE90" s="29"/>
    </row>
    <row r="91"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  <c r="CE91" s="29"/>
    </row>
    <row r="92"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  <c r="CE92" s="29"/>
    </row>
    <row r="93"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  <c r="CE93" s="29"/>
    </row>
    <row r="94"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</row>
    <row r="95"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  <c r="CE95" s="29"/>
    </row>
    <row r="96"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  <c r="CE96" s="29"/>
    </row>
    <row r="97"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  <c r="CE97" s="29"/>
    </row>
    <row r="98"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  <c r="CE98" s="29"/>
    </row>
    <row r="99"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  <c r="CE99" s="29"/>
    </row>
    <row r="100"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</row>
    <row r="101"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</row>
    <row r="102"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</row>
    <row r="103"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</row>
    <row r="104"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</row>
    <row r="105"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</row>
    <row r="106"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</row>
    <row r="107"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</row>
    <row r="108"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</row>
    <row r="109"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</row>
    <row r="110"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</row>
    <row r="111"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</row>
    <row r="112"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</row>
    <row r="113"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</row>
    <row r="114"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</row>
    <row r="115"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</row>
    <row r="116"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</row>
    <row r="117"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</row>
    <row r="118"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</row>
    <row r="119"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</row>
    <row r="120"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</row>
    <row r="121"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</row>
    <row r="122"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</row>
    <row r="123"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</row>
    <row r="124"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</row>
    <row r="125"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</row>
    <row r="126"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</row>
    <row r="127"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</row>
    <row r="128"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</row>
    <row r="129"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</row>
    <row r="130"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</row>
    <row r="131"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</row>
    <row r="132"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</row>
    <row r="133"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</row>
    <row r="134"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</row>
    <row r="135"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</row>
    <row r="136"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</row>
    <row r="137"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</row>
    <row r="138"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  <c r="CE138" s="29"/>
    </row>
    <row r="139"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  <c r="CE139" s="29"/>
    </row>
    <row r="140"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  <c r="CE140" s="29"/>
    </row>
    <row r="141"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  <c r="CE141" s="29"/>
    </row>
    <row r="142"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  <c r="CE142" s="29"/>
    </row>
    <row r="143"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  <c r="CE143" s="29"/>
    </row>
    <row r="144"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  <c r="CE144" s="29"/>
    </row>
    <row r="145"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  <c r="CE145" s="29"/>
    </row>
    <row r="146"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  <c r="CE146" s="29"/>
    </row>
    <row r="147"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  <c r="CE147" s="29"/>
    </row>
    <row r="148"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  <c r="CE148" s="29"/>
    </row>
    <row r="149"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  <c r="CE149" s="29"/>
    </row>
    <row r="150"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  <c r="CE150" s="29"/>
    </row>
    <row r="151"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  <c r="CE151" s="29"/>
    </row>
    <row r="152"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  <c r="CE152" s="29"/>
    </row>
    <row r="153"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  <c r="CE153" s="29"/>
    </row>
    <row r="154"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  <c r="CE154" s="29"/>
    </row>
    <row r="155"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  <c r="CE155" s="29"/>
    </row>
    <row r="156"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  <c r="CE156" s="29"/>
    </row>
    <row r="157"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</row>
    <row r="158"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</row>
    <row r="159"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  <c r="CE159" s="29"/>
    </row>
    <row r="160"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  <c r="CE160" s="29"/>
    </row>
    <row r="161"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  <c r="CE161" s="29"/>
    </row>
    <row r="162"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  <c r="CE162" s="29"/>
    </row>
    <row r="163"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</row>
    <row r="164"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</row>
    <row r="165"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</row>
    <row r="166"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  <c r="CE166" s="29"/>
    </row>
    <row r="167"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</row>
    <row r="168"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</row>
    <row r="169"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</row>
    <row r="170"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</row>
    <row r="171"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</row>
    <row r="172"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  <c r="CE172" s="29"/>
    </row>
    <row r="173"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  <c r="CE173" s="29"/>
    </row>
    <row r="174"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  <c r="CE174" s="29"/>
    </row>
    <row r="175"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  <c r="CE175" s="29"/>
    </row>
    <row r="176"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  <c r="CE176" s="29"/>
    </row>
    <row r="177"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  <c r="CE177" s="29"/>
    </row>
    <row r="178"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  <c r="CE178" s="29"/>
    </row>
    <row r="179">
      <c r="H179" s="33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  <c r="CE179" s="29"/>
    </row>
    <row r="180"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</row>
    <row r="181"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  <c r="CE181" s="29"/>
    </row>
    <row r="182"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  <c r="CE182" s="29"/>
    </row>
    <row r="183"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  <c r="CE183" s="29"/>
    </row>
    <row r="184"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  <c r="CE184" s="29"/>
    </row>
    <row r="185"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  <c r="CE185" s="29"/>
    </row>
    <row r="186"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  <c r="CE186" s="29"/>
    </row>
    <row r="187"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  <c r="CE187" s="29"/>
    </row>
    <row r="188"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  <c r="CE188" s="29"/>
    </row>
    <row r="189"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  <c r="CE189" s="29"/>
    </row>
    <row r="190"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</row>
    <row r="191"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  <c r="CE191" s="29"/>
    </row>
    <row r="192"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  <c r="CE192" s="29"/>
    </row>
    <row r="193"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  <c r="CE193" s="29"/>
    </row>
    <row r="194"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  <c r="CE194" s="29"/>
    </row>
    <row r="195"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  <c r="CE195" s="29"/>
    </row>
    <row r="196"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  <c r="CE196" s="29"/>
    </row>
    <row r="197"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  <c r="CE197" s="29"/>
    </row>
    <row r="198"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  <c r="CE198" s="29"/>
    </row>
    <row r="199"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  <c r="CE199" s="29"/>
    </row>
    <row r="200"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  <c r="CE200" s="29"/>
    </row>
    <row r="201"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  <c r="CE201" s="29"/>
    </row>
    <row r="202"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  <c r="CE202" s="29"/>
    </row>
    <row r="203"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  <c r="CE203" s="29"/>
    </row>
    <row r="204"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  <c r="CE204" s="29"/>
    </row>
    <row r="205"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</row>
    <row r="206"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</row>
    <row r="207"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</row>
    <row r="208"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</row>
    <row r="209"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</row>
    <row r="210"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</row>
    <row r="211"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  <c r="CE211" s="29"/>
    </row>
    <row r="212"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  <c r="CE212" s="29"/>
    </row>
    <row r="213"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  <c r="CE213" s="29"/>
    </row>
    <row r="214"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  <c r="CE214" s="29"/>
    </row>
    <row r="215"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  <c r="CE215" s="29"/>
    </row>
    <row r="216"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  <c r="CE216" s="29"/>
    </row>
    <row r="217"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  <c r="CE217" s="29"/>
    </row>
    <row r="218"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  <c r="CE218" s="29"/>
    </row>
    <row r="219"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  <c r="CE219" s="29"/>
    </row>
    <row r="220"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  <c r="CE220" s="29"/>
    </row>
    <row r="221"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  <c r="CE221" s="29"/>
    </row>
    <row r="222"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</row>
    <row r="223"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  <c r="CE223" s="29"/>
    </row>
    <row r="224"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  <c r="CE224" s="29"/>
    </row>
    <row r="225"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  <c r="CE225" s="29"/>
    </row>
    <row r="226"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  <c r="CE226" s="29"/>
    </row>
    <row r="227"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  <c r="CE227" s="29"/>
    </row>
    <row r="228"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  <c r="CE228" s="29"/>
    </row>
    <row r="229"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  <c r="CE229" s="29"/>
    </row>
    <row r="230"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  <c r="CE230" s="29"/>
    </row>
    <row r="231"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  <c r="CE231" s="29"/>
    </row>
    <row r="232"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  <c r="CE232" s="29"/>
    </row>
    <row r="233"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  <c r="CE233" s="29"/>
    </row>
    <row r="234"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  <c r="CE234" s="29"/>
    </row>
    <row r="235"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  <c r="CE235" s="29"/>
    </row>
    <row r="236"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  <c r="CE236" s="29"/>
    </row>
    <row r="237"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  <c r="CE237" s="29"/>
    </row>
    <row r="238"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  <c r="CE238" s="29"/>
    </row>
    <row r="239"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  <c r="CE239" s="29"/>
    </row>
    <row r="240"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  <c r="CE240" s="29"/>
    </row>
    <row r="241"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  <c r="CE241" s="29"/>
    </row>
    <row r="242"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  <c r="CE242" s="29"/>
    </row>
    <row r="243"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  <c r="CE243" s="29"/>
    </row>
    <row r="244"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</row>
    <row r="245"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</row>
    <row r="246"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</row>
    <row r="247"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</row>
    <row r="248"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</row>
    <row r="249"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</row>
    <row r="250"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</row>
    <row r="251"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</row>
    <row r="252"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</row>
    <row r="253"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</row>
    <row r="254"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</row>
    <row r="255"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</row>
    <row r="256"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</row>
    <row r="257"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</row>
    <row r="258"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</row>
    <row r="259"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</row>
    <row r="260"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</row>
    <row r="261"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  <c r="CE261" s="29"/>
    </row>
    <row r="262"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  <c r="CE262" s="29"/>
    </row>
    <row r="263"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  <c r="CE263" s="29"/>
    </row>
    <row r="264"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  <c r="CE264" s="29"/>
    </row>
    <row r="265"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  <c r="CE265" s="29"/>
    </row>
    <row r="266"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  <c r="CE266" s="29"/>
    </row>
    <row r="267"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  <c r="CE267" s="29"/>
    </row>
    <row r="268"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  <c r="CE268" s="29"/>
    </row>
    <row r="269"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  <c r="CE269" s="29"/>
    </row>
    <row r="270"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  <c r="CE270" s="29"/>
    </row>
    <row r="271"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  <c r="CE271" s="29"/>
    </row>
    <row r="272"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  <c r="CE272" s="29"/>
    </row>
    <row r="273"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  <c r="CE273" s="29"/>
    </row>
    <row r="274"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  <c r="CE274" s="29"/>
    </row>
    <row r="275"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  <c r="CE275" s="29"/>
    </row>
    <row r="276"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  <c r="CE276" s="29"/>
    </row>
    <row r="277"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  <c r="CE277" s="29"/>
    </row>
    <row r="278"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  <c r="BO278" s="29"/>
      <c r="BP278" s="29"/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  <c r="CE278" s="29"/>
    </row>
    <row r="279"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  <c r="BO279" s="29"/>
      <c r="BP279" s="29"/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  <c r="CE279" s="29"/>
    </row>
    <row r="280"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29"/>
      <c r="BN280" s="29"/>
      <c r="BO280" s="29"/>
      <c r="BP280" s="29"/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  <c r="CE280" s="29"/>
    </row>
    <row r="281"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29"/>
      <c r="BN281" s="29"/>
      <c r="BO281" s="29"/>
      <c r="BP281" s="29"/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  <c r="CE281" s="29"/>
    </row>
    <row r="282"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29"/>
      <c r="BN282" s="29"/>
      <c r="BO282" s="29"/>
      <c r="BP282" s="29"/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  <c r="CE282" s="29"/>
    </row>
    <row r="283"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29"/>
      <c r="BN283" s="29"/>
      <c r="BO283" s="29"/>
      <c r="BP283" s="29"/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  <c r="CE283" s="29"/>
    </row>
    <row r="284"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29"/>
      <c r="BN284" s="29"/>
      <c r="BO284" s="29"/>
      <c r="BP284" s="29"/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  <c r="CE284" s="29"/>
    </row>
    <row r="285"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29"/>
      <c r="BN285" s="29"/>
      <c r="BO285" s="29"/>
      <c r="BP285" s="29"/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  <c r="CE285" s="29"/>
    </row>
    <row r="286"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</row>
    <row r="287"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29"/>
      <c r="BN287" s="29"/>
      <c r="BO287" s="29"/>
      <c r="BP287" s="29"/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  <c r="CE287" s="29"/>
    </row>
    <row r="288"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29"/>
      <c r="BN288" s="29"/>
      <c r="BO288" s="29"/>
      <c r="BP288" s="29"/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  <c r="CE288" s="29"/>
    </row>
    <row r="289"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29"/>
      <c r="BN289" s="29"/>
      <c r="BO289" s="29"/>
      <c r="BP289" s="29"/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  <c r="CE289" s="29"/>
    </row>
    <row r="290"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29"/>
      <c r="BN290" s="29"/>
      <c r="BO290" s="29"/>
      <c r="BP290" s="29"/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  <c r="CE290" s="29"/>
    </row>
    <row r="291"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29"/>
      <c r="BN291" s="29"/>
      <c r="BO291" s="29"/>
      <c r="BP291" s="29"/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  <c r="CE291" s="29"/>
    </row>
    <row r="292"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29"/>
      <c r="BN292" s="29"/>
      <c r="BO292" s="29"/>
      <c r="BP292" s="29"/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  <c r="CE292" s="29"/>
    </row>
    <row r="293"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  <c r="CE293" s="29"/>
    </row>
    <row r="294"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  <c r="CE294" s="29"/>
    </row>
    <row r="295"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  <c r="CE295" s="29"/>
    </row>
    <row r="296"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  <c r="CE296" s="29"/>
    </row>
    <row r="297"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  <c r="CE297" s="29"/>
    </row>
    <row r="298"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  <c r="CE298" s="29"/>
    </row>
    <row r="299"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  <c r="CE299" s="29"/>
    </row>
    <row r="300"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  <c r="CE300" s="29"/>
    </row>
    <row r="301"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  <c r="CE301" s="29"/>
    </row>
    <row r="302"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  <c r="CE302" s="29"/>
    </row>
    <row r="303"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  <c r="CE303" s="29"/>
    </row>
    <row r="304"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  <c r="CE304" s="29"/>
    </row>
    <row r="305"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  <c r="CE305" s="29"/>
    </row>
    <row r="306"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  <c r="CE306" s="29"/>
    </row>
    <row r="307"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  <c r="CE307" s="29"/>
    </row>
    <row r="308"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  <c r="CE308" s="29"/>
    </row>
    <row r="309"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  <c r="CE309" s="29"/>
    </row>
    <row r="310"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  <c r="CE310" s="29"/>
    </row>
    <row r="311"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  <c r="CE311" s="29"/>
    </row>
    <row r="312"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  <c r="CE312" s="29"/>
    </row>
    <row r="313"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  <c r="CE313" s="29"/>
    </row>
    <row r="314"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  <c r="CE314" s="29"/>
    </row>
    <row r="315"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  <c r="CE315" s="29"/>
    </row>
    <row r="316"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  <c r="CE316" s="29"/>
    </row>
    <row r="317"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  <c r="CE317" s="29"/>
    </row>
    <row r="318"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</row>
    <row r="319"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  <c r="CE319" s="29"/>
    </row>
    <row r="320"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  <c r="CE320" s="29"/>
    </row>
    <row r="321"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  <c r="CE321" s="29"/>
    </row>
    <row r="322"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  <c r="CE322" s="29"/>
    </row>
    <row r="323"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  <c r="CE323" s="29"/>
    </row>
    <row r="324"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  <c r="CE324" s="29"/>
    </row>
    <row r="325"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29"/>
      <c r="BN325" s="29"/>
      <c r="BO325" s="29"/>
      <c r="BP325" s="29"/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  <c r="CE325" s="29"/>
    </row>
    <row r="326"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29"/>
      <c r="BN326" s="29"/>
      <c r="BO326" s="29"/>
      <c r="BP326" s="29"/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  <c r="CE326" s="29"/>
    </row>
    <row r="327"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29"/>
      <c r="BN327" s="29"/>
      <c r="BO327" s="29"/>
      <c r="BP327" s="29"/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  <c r="CE327" s="29"/>
    </row>
    <row r="328"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29"/>
      <c r="BN328" s="29"/>
      <c r="BO328" s="29"/>
      <c r="BP328" s="29"/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  <c r="CE328" s="29"/>
    </row>
    <row r="329"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29"/>
      <c r="BN329" s="29"/>
      <c r="BO329" s="29"/>
      <c r="BP329" s="29"/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  <c r="CE329" s="29"/>
    </row>
    <row r="330"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29"/>
      <c r="BN330" s="29"/>
      <c r="BO330" s="29"/>
      <c r="BP330" s="29"/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  <c r="CE330" s="29"/>
    </row>
    <row r="331"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29"/>
      <c r="BN331" s="29"/>
      <c r="BO331" s="29"/>
      <c r="BP331" s="29"/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  <c r="CE331" s="29"/>
    </row>
    <row r="332"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29"/>
      <c r="BN332" s="29"/>
      <c r="BO332" s="29"/>
      <c r="BP332" s="29"/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  <c r="CE332" s="29"/>
    </row>
    <row r="333"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29"/>
      <c r="BN333" s="29"/>
      <c r="BO333" s="29"/>
      <c r="BP333" s="29"/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  <c r="CE333" s="29"/>
    </row>
    <row r="334"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29"/>
      <c r="BN334" s="29"/>
      <c r="BO334" s="29"/>
      <c r="BP334" s="29"/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  <c r="CE334" s="29"/>
    </row>
    <row r="335"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29"/>
      <c r="BN335" s="29"/>
      <c r="BO335" s="29"/>
      <c r="BP335" s="29"/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  <c r="CE335" s="29"/>
    </row>
    <row r="336"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29"/>
      <c r="BN336" s="29"/>
      <c r="BO336" s="29"/>
      <c r="BP336" s="29"/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  <c r="CE336" s="29"/>
    </row>
    <row r="337"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29"/>
      <c r="BN337" s="29"/>
      <c r="BO337" s="29"/>
      <c r="BP337" s="29"/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  <c r="CE337" s="29"/>
    </row>
    <row r="338"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29"/>
      <c r="BN338" s="29"/>
      <c r="BO338" s="29"/>
      <c r="BP338" s="29"/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  <c r="CE338" s="29"/>
    </row>
    <row r="339"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29"/>
      <c r="BN339" s="29"/>
      <c r="BO339" s="29"/>
      <c r="BP339" s="29"/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  <c r="CE339" s="29"/>
    </row>
    <row r="340"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29"/>
      <c r="BN340" s="29"/>
      <c r="BO340" s="29"/>
      <c r="BP340" s="29"/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  <c r="CE340" s="29"/>
    </row>
    <row r="341"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29"/>
      <c r="BN341" s="29"/>
      <c r="BO341" s="29"/>
      <c r="BP341" s="29"/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  <c r="CE341" s="29"/>
    </row>
    <row r="342"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29"/>
      <c r="BN342" s="29"/>
      <c r="BO342" s="29"/>
      <c r="BP342" s="29"/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  <c r="CE342" s="29"/>
    </row>
    <row r="343"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29"/>
      <c r="BN343" s="29"/>
      <c r="BO343" s="29"/>
      <c r="BP343" s="29"/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  <c r="CE343" s="29"/>
    </row>
    <row r="344"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29"/>
      <c r="BN344" s="29"/>
      <c r="BO344" s="29"/>
      <c r="BP344" s="29"/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  <c r="CE344" s="29"/>
    </row>
    <row r="345"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29"/>
      <c r="BN345" s="29"/>
      <c r="BO345" s="29"/>
      <c r="BP345" s="29"/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  <c r="CE345" s="29"/>
    </row>
    <row r="346"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29"/>
      <c r="BN346" s="29"/>
      <c r="BO346" s="29"/>
      <c r="BP346" s="29"/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  <c r="CE346" s="29"/>
    </row>
    <row r="347"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29"/>
      <c r="BN347" s="29"/>
      <c r="BO347" s="29"/>
      <c r="BP347" s="29"/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  <c r="CE347" s="29"/>
    </row>
    <row r="348"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29"/>
      <c r="BN348" s="29"/>
      <c r="BO348" s="29"/>
      <c r="BP348" s="29"/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  <c r="CE348" s="29"/>
    </row>
    <row r="349"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29"/>
      <c r="BN349" s="29"/>
      <c r="BO349" s="29"/>
      <c r="BP349" s="29"/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  <c r="CE349" s="29"/>
    </row>
    <row r="350"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29"/>
      <c r="BN350" s="29"/>
      <c r="BO350" s="29"/>
      <c r="BP350" s="29"/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  <c r="CE350" s="29"/>
    </row>
    <row r="351"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29"/>
      <c r="BN351" s="29"/>
      <c r="BO351" s="29"/>
      <c r="BP351" s="29"/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  <c r="CE351" s="29"/>
    </row>
    <row r="352"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29"/>
      <c r="BN352" s="29"/>
      <c r="BO352" s="29"/>
      <c r="BP352" s="29"/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  <c r="CE352" s="29"/>
    </row>
    <row r="353"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29"/>
      <c r="BN353" s="29"/>
      <c r="BO353" s="29"/>
      <c r="BP353" s="29"/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  <c r="CE353" s="29"/>
    </row>
    <row r="354"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29"/>
      <c r="BN354" s="29"/>
      <c r="BO354" s="29"/>
      <c r="BP354" s="29"/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  <c r="CE354" s="29"/>
    </row>
    <row r="355"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29"/>
      <c r="BN355" s="29"/>
      <c r="BO355" s="29"/>
      <c r="BP355" s="29"/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  <c r="CE355" s="29"/>
    </row>
    <row r="356"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29"/>
      <c r="BN356" s="29"/>
      <c r="BO356" s="29"/>
      <c r="BP356" s="29"/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  <c r="CE356" s="29"/>
    </row>
    <row r="357"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29"/>
      <c r="BN357" s="29"/>
      <c r="BO357" s="29"/>
      <c r="BP357" s="29"/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  <c r="CE357" s="29"/>
    </row>
    <row r="358"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29"/>
      <c r="BN358" s="29"/>
      <c r="BO358" s="29"/>
      <c r="BP358" s="29"/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  <c r="CE358" s="29"/>
    </row>
    <row r="359"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29"/>
      <c r="BN359" s="29"/>
      <c r="BO359" s="29"/>
      <c r="BP359" s="29"/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  <c r="CE359" s="29"/>
    </row>
    <row r="360"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29"/>
      <c r="BN360" s="29"/>
      <c r="BO360" s="29"/>
      <c r="BP360" s="29"/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  <c r="CE360" s="29"/>
    </row>
    <row r="361"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29"/>
      <c r="BN361" s="29"/>
      <c r="BO361" s="29"/>
      <c r="BP361" s="29"/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  <c r="CE361" s="29"/>
    </row>
    <row r="362"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29"/>
      <c r="BN362" s="29"/>
      <c r="BO362" s="29"/>
      <c r="BP362" s="29"/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  <c r="CE362" s="29"/>
    </row>
    <row r="363"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29"/>
      <c r="BN363" s="29"/>
      <c r="BO363" s="29"/>
      <c r="BP363" s="29"/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  <c r="CE363" s="29"/>
    </row>
    <row r="364"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29"/>
      <c r="BN364" s="29"/>
      <c r="BO364" s="29"/>
      <c r="BP364" s="29"/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  <c r="CE364" s="29"/>
    </row>
    <row r="365"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29"/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  <c r="CE365" s="29"/>
    </row>
    <row r="366"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29"/>
      <c r="BN366" s="29"/>
      <c r="BO366" s="29"/>
      <c r="BP366" s="29"/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  <c r="CE366" s="29"/>
    </row>
    <row r="367"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29"/>
      <c r="BN367" s="29"/>
      <c r="BO367" s="29"/>
      <c r="BP367" s="29"/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  <c r="CE367" s="29"/>
    </row>
    <row r="368"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29"/>
      <c r="BN368" s="29"/>
      <c r="BO368" s="29"/>
      <c r="BP368" s="29"/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  <c r="CE368" s="29"/>
    </row>
    <row r="369"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29"/>
      <c r="BN369" s="29"/>
      <c r="BO369" s="29"/>
      <c r="BP369" s="29"/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  <c r="CE369" s="29"/>
    </row>
    <row r="370"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29"/>
      <c r="BN370" s="29"/>
      <c r="BO370" s="29"/>
      <c r="BP370" s="29"/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  <c r="CE370" s="29"/>
    </row>
    <row r="371"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29"/>
      <c r="BN371" s="29"/>
      <c r="BO371" s="29"/>
      <c r="BP371" s="29"/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  <c r="CE371" s="29"/>
    </row>
    <row r="372"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29"/>
      <c r="BN372" s="29"/>
      <c r="BO372" s="29"/>
      <c r="BP372" s="29"/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  <c r="CE372" s="29"/>
    </row>
    <row r="373"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29"/>
      <c r="BN373" s="29"/>
      <c r="BO373" s="29"/>
      <c r="BP373" s="29"/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  <c r="CE373" s="29"/>
    </row>
    <row r="374"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29"/>
      <c r="BN374" s="29"/>
      <c r="BO374" s="29"/>
      <c r="BP374" s="29"/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  <c r="CE374" s="29"/>
    </row>
    <row r="375"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29"/>
      <c r="BN375" s="29"/>
      <c r="BO375" s="29"/>
      <c r="BP375" s="29"/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  <c r="CE375" s="29"/>
    </row>
    <row r="376"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29"/>
      <c r="BN376" s="29"/>
      <c r="BO376" s="29"/>
      <c r="BP376" s="29"/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  <c r="CE376" s="29"/>
    </row>
    <row r="377"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29"/>
      <c r="BN377" s="29"/>
      <c r="BO377" s="29"/>
      <c r="BP377" s="29"/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  <c r="CE377" s="29"/>
    </row>
    <row r="378"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29"/>
      <c r="BN378" s="29"/>
      <c r="BO378" s="29"/>
      <c r="BP378" s="29"/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  <c r="CE378" s="29"/>
    </row>
    <row r="379"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29"/>
      <c r="BN379" s="29"/>
      <c r="BO379" s="29"/>
      <c r="BP379" s="29"/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  <c r="CE379" s="29"/>
    </row>
    <row r="380"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29"/>
      <c r="BN380" s="29"/>
      <c r="BO380" s="29"/>
      <c r="BP380" s="29"/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  <c r="CE380" s="29"/>
    </row>
    <row r="381"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29"/>
      <c r="BN381" s="29"/>
      <c r="BO381" s="29"/>
      <c r="BP381" s="29"/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  <c r="CE381" s="29"/>
    </row>
    <row r="382"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29"/>
      <c r="BN382" s="29"/>
      <c r="BO382" s="29"/>
      <c r="BP382" s="29"/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  <c r="CE382" s="29"/>
    </row>
    <row r="383"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29"/>
      <c r="BN383" s="29"/>
      <c r="BO383" s="29"/>
      <c r="BP383" s="29"/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  <c r="CE383" s="29"/>
    </row>
    <row r="384"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29"/>
      <c r="BN384" s="29"/>
      <c r="BO384" s="29"/>
      <c r="BP384" s="29"/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  <c r="CE384" s="29"/>
    </row>
    <row r="385"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29"/>
      <c r="BN385" s="29"/>
      <c r="BO385" s="29"/>
      <c r="BP385" s="29"/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  <c r="CE385" s="29"/>
    </row>
    <row r="386"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29"/>
      <c r="BN386" s="29"/>
      <c r="BO386" s="29"/>
      <c r="BP386" s="29"/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  <c r="CE386" s="29"/>
    </row>
    <row r="387"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29"/>
      <c r="BN387" s="29"/>
      <c r="BO387" s="29"/>
      <c r="BP387" s="29"/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  <c r="CE387" s="29"/>
    </row>
    <row r="388"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29"/>
      <c r="BN388" s="29"/>
      <c r="BO388" s="29"/>
      <c r="BP388" s="29"/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  <c r="CE388" s="29"/>
    </row>
    <row r="389"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29"/>
      <c r="BN389" s="29"/>
      <c r="BO389" s="29"/>
      <c r="BP389" s="29"/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  <c r="CE389" s="29"/>
    </row>
    <row r="390"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29"/>
      <c r="BN390" s="29"/>
      <c r="BO390" s="29"/>
      <c r="BP390" s="29"/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  <c r="CE390" s="29"/>
    </row>
    <row r="391"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29"/>
      <c r="BN391" s="29"/>
      <c r="BO391" s="29"/>
      <c r="BP391" s="29"/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  <c r="CE391" s="29"/>
    </row>
    <row r="392"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29"/>
      <c r="BN392" s="29"/>
      <c r="BO392" s="29"/>
      <c r="BP392" s="29"/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  <c r="CE392" s="29"/>
    </row>
    <row r="393"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29"/>
      <c r="BN393" s="29"/>
      <c r="BO393" s="29"/>
      <c r="BP393" s="29"/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  <c r="CE393" s="29"/>
    </row>
    <row r="394"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29"/>
      <c r="BN394" s="29"/>
      <c r="BO394" s="29"/>
      <c r="BP394" s="29"/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  <c r="CE394" s="29"/>
    </row>
    <row r="395"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29"/>
      <c r="BN395" s="29"/>
      <c r="BO395" s="29"/>
      <c r="BP395" s="29"/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  <c r="CE395" s="29"/>
    </row>
    <row r="396"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29"/>
      <c r="BN396" s="29"/>
      <c r="BO396" s="29"/>
      <c r="BP396" s="29"/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  <c r="CE396" s="29"/>
    </row>
    <row r="397"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29"/>
      <c r="BN397" s="29"/>
      <c r="BO397" s="29"/>
      <c r="BP397" s="29"/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  <c r="CE397" s="29"/>
    </row>
    <row r="398"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29"/>
      <c r="BN398" s="29"/>
      <c r="BO398" s="29"/>
      <c r="BP398" s="29"/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  <c r="CE398" s="29"/>
    </row>
    <row r="399"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29"/>
      <c r="BN399" s="29"/>
      <c r="BO399" s="29"/>
      <c r="BP399" s="29"/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  <c r="CE399" s="29"/>
    </row>
    <row r="400"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29"/>
      <c r="BN400" s="29"/>
      <c r="BO400" s="29"/>
      <c r="BP400" s="29"/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  <c r="CE400" s="29"/>
    </row>
    <row r="401"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29"/>
      <c r="BN401" s="29"/>
      <c r="BO401" s="29"/>
      <c r="BP401" s="29"/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  <c r="CE401" s="29"/>
    </row>
    <row r="402"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29"/>
      <c r="BN402" s="29"/>
      <c r="BO402" s="29"/>
      <c r="BP402" s="29"/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  <c r="CE402" s="29"/>
    </row>
    <row r="403"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29"/>
      <c r="BN403" s="29"/>
      <c r="BO403" s="29"/>
      <c r="BP403" s="29"/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  <c r="CE403" s="29"/>
    </row>
    <row r="404"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29"/>
      <c r="BN404" s="29"/>
      <c r="BO404" s="29"/>
      <c r="BP404" s="29"/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  <c r="CE404" s="29"/>
    </row>
    <row r="405"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29"/>
      <c r="BN405" s="29"/>
      <c r="BO405" s="29"/>
      <c r="BP405" s="29"/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  <c r="CE405" s="29"/>
    </row>
    <row r="406"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29"/>
      <c r="BN406" s="29"/>
      <c r="BO406" s="29"/>
      <c r="BP406" s="29"/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  <c r="CE406" s="29"/>
    </row>
    <row r="407"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29"/>
      <c r="BN407" s="29"/>
      <c r="BO407" s="29"/>
      <c r="BP407" s="29"/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  <c r="CE407" s="29"/>
    </row>
    <row r="408"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29"/>
      <c r="BN408" s="29"/>
      <c r="BO408" s="29"/>
      <c r="BP408" s="29"/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  <c r="CE408" s="29"/>
    </row>
    <row r="409"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29"/>
      <c r="BN409" s="29"/>
      <c r="BO409" s="29"/>
      <c r="BP409" s="29"/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  <c r="CE409" s="29"/>
    </row>
    <row r="410"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29"/>
      <c r="BN410" s="29"/>
      <c r="BO410" s="29"/>
      <c r="BP410" s="29"/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  <c r="CE410" s="29"/>
    </row>
    <row r="411"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29"/>
      <c r="BN411" s="29"/>
      <c r="BO411" s="29"/>
      <c r="BP411" s="29"/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  <c r="CE411" s="29"/>
    </row>
    <row r="412"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29"/>
      <c r="BN412" s="29"/>
      <c r="BO412" s="29"/>
      <c r="BP412" s="29"/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  <c r="CE412" s="29"/>
    </row>
    <row r="413"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29"/>
      <c r="BN413" s="29"/>
      <c r="BO413" s="29"/>
      <c r="BP413" s="29"/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  <c r="CE413" s="29"/>
    </row>
    <row r="414"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29"/>
      <c r="BN414" s="29"/>
      <c r="BO414" s="29"/>
      <c r="BP414" s="29"/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  <c r="CE414" s="29"/>
    </row>
    <row r="415"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29"/>
      <c r="BN415" s="29"/>
      <c r="BO415" s="29"/>
      <c r="BP415" s="29"/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  <c r="CE415" s="29"/>
    </row>
    <row r="416"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29"/>
      <c r="BN416" s="29"/>
      <c r="BO416" s="29"/>
      <c r="BP416" s="29"/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  <c r="CE416" s="29"/>
    </row>
    <row r="417"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29"/>
      <c r="BN417" s="29"/>
      <c r="BO417" s="29"/>
      <c r="BP417" s="29"/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  <c r="CE417" s="29"/>
    </row>
    <row r="418"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29"/>
      <c r="BN418" s="29"/>
      <c r="BO418" s="29"/>
      <c r="BP418" s="29"/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  <c r="CE418" s="29"/>
    </row>
    <row r="419"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29"/>
      <c r="BN419" s="29"/>
      <c r="BO419" s="29"/>
      <c r="BP419" s="29"/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  <c r="CE419" s="29"/>
    </row>
    <row r="420"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29"/>
      <c r="BN420" s="29"/>
      <c r="BO420" s="29"/>
      <c r="BP420" s="29"/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  <c r="CE420" s="29"/>
    </row>
    <row r="421"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29"/>
      <c r="BN421" s="29"/>
      <c r="BO421" s="29"/>
      <c r="BP421" s="29"/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  <c r="CE421" s="29"/>
    </row>
    <row r="422"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29"/>
      <c r="BN422" s="29"/>
      <c r="BO422" s="29"/>
      <c r="BP422" s="29"/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  <c r="CE422" s="29"/>
    </row>
    <row r="423"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29"/>
      <c r="BN423" s="29"/>
      <c r="BO423" s="29"/>
      <c r="BP423" s="29"/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  <c r="CE423" s="29"/>
    </row>
    <row r="424"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29"/>
      <c r="BN424" s="29"/>
      <c r="BO424" s="29"/>
      <c r="BP424" s="29"/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  <c r="CE424" s="29"/>
    </row>
    <row r="425"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29"/>
      <c r="BN425" s="29"/>
      <c r="BO425" s="29"/>
      <c r="BP425" s="29"/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  <c r="CE425" s="29"/>
    </row>
    <row r="426"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29"/>
      <c r="BN426" s="29"/>
      <c r="BO426" s="29"/>
      <c r="BP426" s="29"/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  <c r="CE426" s="29"/>
    </row>
    <row r="427"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29"/>
      <c r="BN427" s="29"/>
      <c r="BO427" s="29"/>
      <c r="BP427" s="29"/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  <c r="CE427" s="29"/>
    </row>
    <row r="428"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29"/>
      <c r="BN428" s="29"/>
      <c r="BO428" s="29"/>
      <c r="BP428" s="29"/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  <c r="CE428" s="29"/>
    </row>
    <row r="429"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29"/>
      <c r="BN429" s="29"/>
      <c r="BO429" s="29"/>
      <c r="BP429" s="29"/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  <c r="CE429" s="29"/>
    </row>
    <row r="430"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29"/>
      <c r="BN430" s="29"/>
      <c r="BO430" s="29"/>
      <c r="BP430" s="29"/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  <c r="CE430" s="29"/>
    </row>
    <row r="431"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29"/>
      <c r="BN431" s="29"/>
      <c r="BO431" s="29"/>
      <c r="BP431" s="29"/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  <c r="CE431" s="29"/>
    </row>
    <row r="432"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29"/>
      <c r="BN432" s="29"/>
      <c r="BO432" s="29"/>
      <c r="BP432" s="29"/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  <c r="CE432" s="29"/>
    </row>
    <row r="433"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29"/>
      <c r="BN433" s="29"/>
      <c r="BO433" s="29"/>
      <c r="BP433" s="29"/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  <c r="CE433" s="29"/>
    </row>
    <row r="434"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29"/>
      <c r="BN434" s="29"/>
      <c r="BO434" s="29"/>
      <c r="BP434" s="29"/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  <c r="CE434" s="29"/>
    </row>
    <row r="435"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29"/>
      <c r="BN435" s="29"/>
      <c r="BO435" s="29"/>
      <c r="BP435" s="29"/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  <c r="CE435" s="29"/>
    </row>
    <row r="436"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29"/>
      <c r="BN436" s="29"/>
      <c r="BO436" s="29"/>
      <c r="BP436" s="29"/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  <c r="CE436" s="29"/>
    </row>
    <row r="437"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29"/>
      <c r="BN437" s="29"/>
      <c r="BO437" s="29"/>
      <c r="BP437" s="29"/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  <c r="CE437" s="29"/>
    </row>
    <row r="438"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29"/>
      <c r="BN438" s="29"/>
      <c r="BO438" s="29"/>
      <c r="BP438" s="29"/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  <c r="CE438" s="29"/>
    </row>
    <row r="439"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29"/>
      <c r="BN439" s="29"/>
      <c r="BO439" s="29"/>
      <c r="BP439" s="29"/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  <c r="CE439" s="29"/>
    </row>
    <row r="440"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29"/>
      <c r="BN440" s="29"/>
      <c r="BO440" s="29"/>
      <c r="BP440" s="29"/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  <c r="CE440" s="29"/>
    </row>
    <row r="441"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29"/>
      <c r="BN441" s="29"/>
      <c r="BO441" s="29"/>
      <c r="BP441" s="29"/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  <c r="CE441" s="29"/>
    </row>
    <row r="442"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29"/>
      <c r="BN442" s="29"/>
      <c r="BO442" s="29"/>
      <c r="BP442" s="29"/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  <c r="CE442" s="29"/>
    </row>
    <row r="443"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29"/>
      <c r="BN443" s="29"/>
      <c r="BO443" s="29"/>
      <c r="BP443" s="29"/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  <c r="CE443" s="29"/>
    </row>
    <row r="444"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29"/>
      <c r="BN444" s="29"/>
      <c r="BO444" s="29"/>
      <c r="BP444" s="29"/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  <c r="CE444" s="29"/>
    </row>
    <row r="445"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29"/>
      <c r="BN445" s="29"/>
      <c r="BO445" s="29"/>
      <c r="BP445" s="29"/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  <c r="CE445" s="29"/>
    </row>
    <row r="446"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29"/>
      <c r="BN446" s="29"/>
      <c r="BO446" s="29"/>
      <c r="BP446" s="29"/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  <c r="CE446" s="29"/>
    </row>
    <row r="447"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29"/>
      <c r="BN447" s="29"/>
      <c r="BO447" s="29"/>
      <c r="BP447" s="29"/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  <c r="CE447" s="29"/>
    </row>
    <row r="448"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29"/>
      <c r="BN448" s="29"/>
      <c r="BO448" s="29"/>
      <c r="BP448" s="29"/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  <c r="CE448" s="29"/>
    </row>
    <row r="449"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29"/>
      <c r="BN449" s="29"/>
      <c r="BO449" s="29"/>
      <c r="BP449" s="29"/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  <c r="CE449" s="29"/>
    </row>
    <row r="450"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29"/>
      <c r="BN450" s="29"/>
      <c r="BO450" s="29"/>
      <c r="BP450" s="29"/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  <c r="CE450" s="29"/>
    </row>
    <row r="451"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29"/>
      <c r="BN451" s="29"/>
      <c r="BO451" s="29"/>
      <c r="BP451" s="29"/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  <c r="CE451" s="29"/>
    </row>
    <row r="452"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29"/>
      <c r="BN452" s="29"/>
      <c r="BO452" s="29"/>
      <c r="BP452" s="29"/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  <c r="CE452" s="29"/>
    </row>
    <row r="453"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29"/>
      <c r="BN453" s="29"/>
      <c r="BO453" s="29"/>
      <c r="BP453" s="29"/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  <c r="CE453" s="29"/>
    </row>
    <row r="454"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29"/>
      <c r="BN454" s="29"/>
      <c r="BO454" s="29"/>
      <c r="BP454" s="29"/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  <c r="CE454" s="29"/>
    </row>
    <row r="455"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29"/>
      <c r="BN455" s="29"/>
      <c r="BO455" s="29"/>
      <c r="BP455" s="29"/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  <c r="CE455" s="29"/>
    </row>
    <row r="456"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29"/>
      <c r="BN456" s="29"/>
      <c r="BO456" s="29"/>
      <c r="BP456" s="29"/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  <c r="CE456" s="29"/>
    </row>
    <row r="457"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29"/>
      <c r="BN457" s="29"/>
      <c r="BO457" s="29"/>
      <c r="BP457" s="29"/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  <c r="CE457" s="29"/>
    </row>
    <row r="458"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29"/>
      <c r="BN458" s="29"/>
      <c r="BO458" s="29"/>
      <c r="BP458" s="29"/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  <c r="CE458" s="29"/>
    </row>
    <row r="459"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29"/>
      <c r="BN459" s="29"/>
      <c r="BO459" s="29"/>
      <c r="BP459" s="29"/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  <c r="CE459" s="29"/>
    </row>
    <row r="460"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29"/>
      <c r="BN460" s="29"/>
      <c r="BO460" s="29"/>
      <c r="BP460" s="29"/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  <c r="CE460" s="29"/>
    </row>
    <row r="461"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29"/>
      <c r="BN461" s="29"/>
      <c r="BO461" s="29"/>
      <c r="BP461" s="29"/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  <c r="CE461" s="29"/>
    </row>
    <row r="462"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29"/>
      <c r="BN462" s="29"/>
      <c r="BO462" s="29"/>
      <c r="BP462" s="29"/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  <c r="CE462" s="29"/>
    </row>
    <row r="463"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29"/>
      <c r="BN463" s="29"/>
      <c r="BO463" s="29"/>
      <c r="BP463" s="29"/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  <c r="CE463" s="29"/>
    </row>
    <row r="464"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29"/>
      <c r="BN464" s="29"/>
      <c r="BO464" s="29"/>
      <c r="BP464" s="29"/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  <c r="CE464" s="29"/>
    </row>
    <row r="465"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29"/>
      <c r="BN465" s="29"/>
      <c r="BO465" s="29"/>
      <c r="BP465" s="29"/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  <c r="CE465" s="29"/>
    </row>
    <row r="466"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29"/>
      <c r="BN466" s="29"/>
      <c r="BO466" s="29"/>
      <c r="BP466" s="29"/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  <c r="CE466" s="29"/>
    </row>
    <row r="467"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29"/>
      <c r="BN467" s="29"/>
      <c r="BO467" s="29"/>
      <c r="BP467" s="29"/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  <c r="CE467" s="29"/>
    </row>
    <row r="468"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29"/>
      <c r="BN468" s="29"/>
      <c r="BO468" s="29"/>
      <c r="BP468" s="29"/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  <c r="CE468" s="29"/>
    </row>
    <row r="469"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29"/>
      <c r="BN469" s="29"/>
      <c r="BO469" s="29"/>
      <c r="BP469" s="29"/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  <c r="CE469" s="29"/>
    </row>
    <row r="470"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29"/>
      <c r="BN470" s="29"/>
      <c r="BO470" s="29"/>
      <c r="BP470" s="29"/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  <c r="CE470" s="29"/>
    </row>
    <row r="471"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29"/>
      <c r="BN471" s="29"/>
      <c r="BO471" s="29"/>
      <c r="BP471" s="29"/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  <c r="CE471" s="29"/>
    </row>
    <row r="472"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29"/>
      <c r="BN472" s="29"/>
      <c r="BO472" s="29"/>
      <c r="BP472" s="29"/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  <c r="CE472" s="29"/>
    </row>
    <row r="473"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29"/>
      <c r="BN473" s="29"/>
      <c r="BO473" s="29"/>
      <c r="BP473" s="29"/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  <c r="CE473" s="29"/>
    </row>
    <row r="474"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29"/>
      <c r="BN474" s="29"/>
      <c r="BO474" s="29"/>
      <c r="BP474" s="29"/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  <c r="CE474" s="29"/>
    </row>
    <row r="475"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29"/>
      <c r="BN475" s="29"/>
      <c r="BO475" s="29"/>
      <c r="BP475" s="29"/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  <c r="CE475" s="29"/>
    </row>
    <row r="476"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29"/>
      <c r="BN476" s="29"/>
      <c r="BO476" s="29"/>
      <c r="BP476" s="29"/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  <c r="CE476" s="29"/>
    </row>
    <row r="477"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29"/>
      <c r="BN477" s="29"/>
      <c r="BO477" s="29"/>
      <c r="BP477" s="29"/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  <c r="CE477" s="29"/>
    </row>
    <row r="478"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29"/>
      <c r="BN478" s="29"/>
      <c r="BO478" s="29"/>
      <c r="BP478" s="29"/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  <c r="CE478" s="29"/>
    </row>
    <row r="479"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29"/>
      <c r="BN479" s="29"/>
      <c r="BO479" s="29"/>
      <c r="BP479" s="29"/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  <c r="CE479" s="29"/>
    </row>
    <row r="480"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29"/>
      <c r="BN480" s="29"/>
      <c r="BO480" s="29"/>
      <c r="BP480" s="29"/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  <c r="CE480" s="29"/>
    </row>
    <row r="481"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29"/>
      <c r="BN481" s="29"/>
      <c r="BO481" s="29"/>
      <c r="BP481" s="29"/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  <c r="CE481" s="29"/>
    </row>
    <row r="482"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29"/>
      <c r="BN482" s="29"/>
      <c r="BO482" s="29"/>
      <c r="BP482" s="29"/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  <c r="CE482" s="29"/>
    </row>
    <row r="483"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29"/>
      <c r="BN483" s="29"/>
      <c r="BO483" s="29"/>
      <c r="BP483" s="29"/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  <c r="CE483" s="29"/>
    </row>
    <row r="484"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29"/>
      <c r="BN484" s="29"/>
      <c r="BO484" s="29"/>
      <c r="BP484" s="29"/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  <c r="CE484" s="29"/>
    </row>
    <row r="485"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29"/>
      <c r="BN485" s="29"/>
      <c r="BO485" s="29"/>
      <c r="BP485" s="29"/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  <c r="CE485" s="29"/>
    </row>
    <row r="486"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29"/>
      <c r="BN486" s="29"/>
      <c r="BO486" s="29"/>
      <c r="BP486" s="29"/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  <c r="CE486" s="29"/>
    </row>
    <row r="487"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29"/>
      <c r="BN487" s="29"/>
      <c r="BO487" s="29"/>
      <c r="BP487" s="29"/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  <c r="CE487" s="29"/>
    </row>
    <row r="488"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29"/>
      <c r="BN488" s="29"/>
      <c r="BO488" s="29"/>
      <c r="BP488" s="29"/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  <c r="CE488" s="29"/>
    </row>
    <row r="489"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29"/>
      <c r="BN489" s="29"/>
      <c r="BO489" s="29"/>
      <c r="BP489" s="29"/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  <c r="CE489" s="29"/>
    </row>
    <row r="490"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29"/>
      <c r="BN490" s="29"/>
      <c r="BO490" s="29"/>
      <c r="BP490" s="29"/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  <c r="CE490" s="29"/>
    </row>
    <row r="491"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29"/>
      <c r="BN491" s="29"/>
      <c r="BO491" s="29"/>
      <c r="BP491" s="29"/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  <c r="CE491" s="29"/>
    </row>
    <row r="492"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29"/>
      <c r="BN492" s="29"/>
      <c r="BO492" s="29"/>
      <c r="BP492" s="29"/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  <c r="CE492" s="29"/>
    </row>
    <row r="493"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29"/>
      <c r="BN493" s="29"/>
      <c r="BO493" s="29"/>
      <c r="BP493" s="29"/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  <c r="CE493" s="29"/>
    </row>
    <row r="494"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29"/>
      <c r="BN494" s="29"/>
      <c r="BO494" s="29"/>
      <c r="BP494" s="29"/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  <c r="CE494" s="29"/>
    </row>
    <row r="495"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29"/>
      <c r="BN495" s="29"/>
      <c r="BO495" s="29"/>
      <c r="BP495" s="29"/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  <c r="CE495" s="29"/>
    </row>
    <row r="496"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29"/>
      <c r="BN496" s="29"/>
      <c r="BO496" s="29"/>
      <c r="BP496" s="29"/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  <c r="CE496" s="29"/>
    </row>
    <row r="497"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29"/>
      <c r="BN497" s="29"/>
      <c r="BO497" s="29"/>
      <c r="BP497" s="29"/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  <c r="CE497" s="29"/>
    </row>
    <row r="498"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29"/>
      <c r="BN498" s="29"/>
      <c r="BO498" s="29"/>
      <c r="BP498" s="29"/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  <c r="CE498" s="29"/>
    </row>
    <row r="499"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29"/>
      <c r="BN499" s="29"/>
      <c r="BO499" s="29"/>
      <c r="BP499" s="29"/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  <c r="CE499" s="29"/>
    </row>
    <row r="500"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29"/>
      <c r="BN500" s="29"/>
      <c r="BO500" s="29"/>
      <c r="BP500" s="29"/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  <c r="CE500" s="29"/>
    </row>
    <row r="501"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29"/>
      <c r="BN501" s="29"/>
      <c r="BO501" s="29"/>
      <c r="BP501" s="29"/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  <c r="CE501" s="29"/>
    </row>
    <row r="502"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29"/>
      <c r="BN502" s="29"/>
      <c r="BO502" s="29"/>
      <c r="BP502" s="29"/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  <c r="CE502" s="29"/>
    </row>
    <row r="503"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29"/>
      <c r="BN503" s="29"/>
      <c r="BO503" s="29"/>
      <c r="BP503" s="29"/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  <c r="CE503" s="29"/>
    </row>
    <row r="504"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29"/>
      <c r="BN504" s="29"/>
      <c r="BO504" s="29"/>
      <c r="BP504" s="29"/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  <c r="CE504" s="29"/>
    </row>
    <row r="505"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29"/>
      <c r="BN505" s="29"/>
      <c r="BO505" s="29"/>
      <c r="BP505" s="29"/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  <c r="CE505" s="29"/>
    </row>
    <row r="506"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29"/>
      <c r="BN506" s="29"/>
      <c r="BO506" s="29"/>
      <c r="BP506" s="29"/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  <c r="CE506" s="29"/>
    </row>
    <row r="507"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29"/>
      <c r="BN507" s="29"/>
      <c r="BO507" s="29"/>
      <c r="BP507" s="29"/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  <c r="CE507" s="29"/>
    </row>
    <row r="508"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29"/>
      <c r="BN508" s="29"/>
      <c r="BO508" s="29"/>
      <c r="BP508" s="29"/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  <c r="CE508" s="29"/>
    </row>
    <row r="509"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29"/>
      <c r="BN509" s="29"/>
      <c r="BO509" s="29"/>
      <c r="BP509" s="29"/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  <c r="CE509" s="29"/>
    </row>
    <row r="510"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29"/>
      <c r="BN510" s="29"/>
      <c r="BO510" s="29"/>
      <c r="BP510" s="29"/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  <c r="CE510" s="29"/>
    </row>
    <row r="511"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29"/>
      <c r="BN511" s="29"/>
      <c r="BO511" s="29"/>
      <c r="BP511" s="29"/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  <c r="CE511" s="29"/>
    </row>
    <row r="512"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29"/>
      <c r="BN512" s="29"/>
      <c r="BO512" s="29"/>
      <c r="BP512" s="29"/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  <c r="CE512" s="29"/>
    </row>
    <row r="513"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29"/>
      <c r="BN513" s="29"/>
      <c r="BO513" s="29"/>
      <c r="BP513" s="29"/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  <c r="CE513" s="29"/>
    </row>
    <row r="514"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29"/>
      <c r="BN514" s="29"/>
      <c r="BO514" s="29"/>
      <c r="BP514" s="29"/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  <c r="CE514" s="29"/>
    </row>
    <row r="515"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29"/>
      <c r="BN515" s="29"/>
      <c r="BO515" s="29"/>
      <c r="BP515" s="29"/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  <c r="CE515" s="29"/>
    </row>
    <row r="516"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29"/>
      <c r="BN516" s="29"/>
      <c r="BO516" s="29"/>
      <c r="BP516" s="29"/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  <c r="CE516" s="29"/>
    </row>
    <row r="517"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29"/>
      <c r="BN517" s="29"/>
      <c r="BO517" s="29"/>
      <c r="BP517" s="29"/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  <c r="CE517" s="29"/>
    </row>
    <row r="518"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29"/>
      <c r="BN518" s="29"/>
      <c r="BO518" s="29"/>
      <c r="BP518" s="29"/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  <c r="CE518" s="29"/>
    </row>
    <row r="519"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29"/>
      <c r="BN519" s="29"/>
      <c r="BO519" s="29"/>
      <c r="BP519" s="29"/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  <c r="CE519" s="29"/>
    </row>
    <row r="520"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29"/>
      <c r="BN520" s="29"/>
      <c r="BO520" s="29"/>
      <c r="BP520" s="29"/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  <c r="CE520" s="29"/>
    </row>
    <row r="521"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29"/>
      <c r="BN521" s="29"/>
      <c r="BO521" s="29"/>
      <c r="BP521" s="29"/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  <c r="CE521" s="29"/>
    </row>
    <row r="522"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29"/>
      <c r="BN522" s="29"/>
      <c r="BO522" s="29"/>
      <c r="BP522" s="29"/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  <c r="CE522" s="29"/>
    </row>
    <row r="523"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29"/>
      <c r="BN523" s="29"/>
      <c r="BO523" s="29"/>
      <c r="BP523" s="29"/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  <c r="CE523" s="29"/>
    </row>
    <row r="524"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29"/>
      <c r="BN524" s="29"/>
      <c r="BO524" s="29"/>
      <c r="BP524" s="29"/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  <c r="CE524" s="29"/>
    </row>
    <row r="525"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29"/>
      <c r="BN525" s="29"/>
      <c r="BO525" s="29"/>
      <c r="BP525" s="29"/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  <c r="CE525" s="29"/>
    </row>
    <row r="526"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29"/>
      <c r="BN526" s="29"/>
      <c r="BO526" s="29"/>
      <c r="BP526" s="29"/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  <c r="CE526" s="29"/>
    </row>
    <row r="527"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29"/>
      <c r="BN527" s="29"/>
      <c r="BO527" s="29"/>
      <c r="BP527" s="29"/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  <c r="CE527" s="29"/>
    </row>
    <row r="528"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29"/>
      <c r="BN528" s="29"/>
      <c r="BO528" s="29"/>
      <c r="BP528" s="29"/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  <c r="CE528" s="29"/>
    </row>
    <row r="529"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29"/>
      <c r="BN529" s="29"/>
      <c r="BO529" s="29"/>
      <c r="BP529" s="29"/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  <c r="CE529" s="29"/>
    </row>
    <row r="530"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29"/>
      <c r="BN530" s="29"/>
      <c r="BO530" s="29"/>
      <c r="BP530" s="29"/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  <c r="CE530" s="29"/>
    </row>
    <row r="531"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29"/>
      <c r="BN531" s="29"/>
      <c r="BO531" s="29"/>
      <c r="BP531" s="29"/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  <c r="CE531" s="29"/>
    </row>
    <row r="532"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29"/>
      <c r="BN532" s="29"/>
      <c r="BO532" s="29"/>
      <c r="BP532" s="29"/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  <c r="CE532" s="29"/>
    </row>
    <row r="533"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29"/>
      <c r="BN533" s="29"/>
      <c r="BO533" s="29"/>
      <c r="BP533" s="29"/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  <c r="CE533" s="29"/>
    </row>
    <row r="534"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29"/>
      <c r="BN534" s="29"/>
      <c r="BO534" s="29"/>
      <c r="BP534" s="29"/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  <c r="CE534" s="29"/>
    </row>
    <row r="535"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29"/>
      <c r="BN535" s="29"/>
      <c r="BO535" s="29"/>
      <c r="BP535" s="29"/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  <c r="CE535" s="29"/>
    </row>
    <row r="536"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29"/>
      <c r="BN536" s="29"/>
      <c r="BO536" s="29"/>
      <c r="BP536" s="29"/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  <c r="CE536" s="29"/>
    </row>
    <row r="537"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29"/>
      <c r="BN537" s="29"/>
      <c r="BO537" s="29"/>
      <c r="BP537" s="29"/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  <c r="CE537" s="29"/>
    </row>
    <row r="538"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29"/>
      <c r="BN538" s="29"/>
      <c r="BO538" s="29"/>
      <c r="BP538" s="29"/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  <c r="CE538" s="29"/>
    </row>
    <row r="539"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29"/>
      <c r="BN539" s="29"/>
      <c r="BO539" s="29"/>
      <c r="BP539" s="29"/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  <c r="CE539" s="29"/>
    </row>
    <row r="540"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29"/>
      <c r="BN540" s="29"/>
      <c r="BO540" s="29"/>
      <c r="BP540" s="29"/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  <c r="CE540" s="29"/>
    </row>
    <row r="541"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29"/>
      <c r="BN541" s="29"/>
      <c r="BO541" s="29"/>
      <c r="BP541" s="29"/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  <c r="CE541" s="29"/>
    </row>
    <row r="542"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29"/>
      <c r="BN542" s="29"/>
      <c r="BO542" s="29"/>
      <c r="BP542" s="29"/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  <c r="CE542" s="29"/>
    </row>
    <row r="543"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29"/>
      <c r="BN543" s="29"/>
      <c r="BO543" s="29"/>
      <c r="BP543" s="29"/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  <c r="CE543" s="29"/>
    </row>
    <row r="544"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29"/>
      <c r="BN544" s="29"/>
      <c r="BO544" s="29"/>
      <c r="BP544" s="29"/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  <c r="CE544" s="29"/>
    </row>
    <row r="545"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29"/>
      <c r="BN545" s="29"/>
      <c r="BO545" s="29"/>
      <c r="BP545" s="29"/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  <c r="CE545" s="29"/>
    </row>
    <row r="546"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29"/>
      <c r="BN546" s="29"/>
      <c r="BO546" s="29"/>
      <c r="BP546" s="29"/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  <c r="CE546" s="29"/>
    </row>
    <row r="547"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29"/>
      <c r="BN547" s="29"/>
      <c r="BO547" s="29"/>
      <c r="BP547" s="29"/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  <c r="CE547" s="29"/>
    </row>
    <row r="548"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29"/>
      <c r="BN548" s="29"/>
      <c r="BO548" s="29"/>
      <c r="BP548" s="29"/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  <c r="CE548" s="29"/>
    </row>
    <row r="549"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29"/>
      <c r="BN549" s="29"/>
      <c r="BO549" s="29"/>
      <c r="BP549" s="29"/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  <c r="CE549" s="29"/>
    </row>
    <row r="550"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29"/>
      <c r="BN550" s="29"/>
      <c r="BO550" s="29"/>
      <c r="BP550" s="29"/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  <c r="CE550" s="29"/>
    </row>
    <row r="551"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29"/>
      <c r="BN551" s="29"/>
      <c r="BO551" s="29"/>
      <c r="BP551" s="29"/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  <c r="CE551" s="29"/>
    </row>
    <row r="552"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</row>
    <row r="553"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29"/>
      <c r="BN553" s="29"/>
      <c r="BO553" s="29"/>
      <c r="BP553" s="29"/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  <c r="CE553" s="29"/>
    </row>
    <row r="554"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29"/>
      <c r="BN554" s="29"/>
      <c r="BO554" s="29"/>
      <c r="BP554" s="29"/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  <c r="CE554" s="29"/>
    </row>
    <row r="555"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29"/>
      <c r="BN555" s="29"/>
      <c r="BO555" s="29"/>
      <c r="BP555" s="29"/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  <c r="CE555" s="29"/>
    </row>
    <row r="556"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29"/>
      <c r="BN556" s="29"/>
      <c r="BO556" s="29"/>
      <c r="BP556" s="29"/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  <c r="CE556" s="29"/>
    </row>
    <row r="557"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29"/>
      <c r="BN557" s="29"/>
      <c r="BO557" s="29"/>
      <c r="BP557" s="29"/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  <c r="CE557" s="29"/>
    </row>
    <row r="558"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29"/>
      <c r="BN558" s="29"/>
      <c r="BO558" s="29"/>
      <c r="BP558" s="29"/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  <c r="CE558" s="29"/>
    </row>
    <row r="559"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29"/>
      <c r="BN559" s="29"/>
      <c r="BO559" s="29"/>
      <c r="BP559" s="29"/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  <c r="CE559" s="29"/>
    </row>
    <row r="560"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29"/>
      <c r="BN560" s="29"/>
      <c r="BO560" s="29"/>
      <c r="BP560" s="29"/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  <c r="CE560" s="29"/>
    </row>
    <row r="561"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29"/>
      <c r="BN561" s="29"/>
      <c r="BO561" s="29"/>
      <c r="BP561" s="29"/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  <c r="CE561" s="29"/>
    </row>
    <row r="562"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29"/>
      <c r="BN562" s="29"/>
      <c r="BO562" s="29"/>
      <c r="BP562" s="29"/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  <c r="CE562" s="29"/>
    </row>
    <row r="563"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29"/>
      <c r="BN563" s="29"/>
      <c r="BO563" s="29"/>
      <c r="BP563" s="29"/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  <c r="CE563" s="29"/>
    </row>
    <row r="564"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29"/>
      <c r="BN564" s="29"/>
      <c r="BO564" s="29"/>
      <c r="BP564" s="29"/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  <c r="CE564" s="29"/>
    </row>
    <row r="565"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29"/>
      <c r="BN565" s="29"/>
      <c r="BO565" s="29"/>
      <c r="BP565" s="29"/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  <c r="CE565" s="29"/>
    </row>
    <row r="566"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29"/>
      <c r="BN566" s="29"/>
      <c r="BO566" s="29"/>
      <c r="BP566" s="29"/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  <c r="CE566" s="29"/>
    </row>
    <row r="567"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29"/>
      <c r="BN567" s="29"/>
      <c r="BO567" s="29"/>
      <c r="BP567" s="29"/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  <c r="CE567" s="29"/>
    </row>
    <row r="568"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29"/>
      <c r="BN568" s="29"/>
      <c r="BO568" s="29"/>
      <c r="BP568" s="29"/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  <c r="CE568" s="29"/>
    </row>
    <row r="569"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29"/>
      <c r="BN569" s="29"/>
      <c r="BO569" s="29"/>
      <c r="BP569" s="29"/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  <c r="CE569" s="29"/>
    </row>
    <row r="570"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29"/>
      <c r="BN570" s="29"/>
      <c r="BO570" s="29"/>
      <c r="BP570" s="29"/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  <c r="CE570" s="29"/>
    </row>
    <row r="571"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29"/>
      <c r="BN571" s="29"/>
      <c r="BO571" s="29"/>
      <c r="BP571" s="29"/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  <c r="CE571" s="29"/>
    </row>
    <row r="572"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29"/>
      <c r="BN572" s="29"/>
      <c r="BO572" s="29"/>
      <c r="BP572" s="29"/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  <c r="CE572" s="29"/>
    </row>
    <row r="573"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29"/>
      <c r="BN573" s="29"/>
      <c r="BO573" s="29"/>
      <c r="BP573" s="29"/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  <c r="CE573" s="29"/>
    </row>
    <row r="574"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29"/>
      <c r="BN574" s="29"/>
      <c r="BO574" s="29"/>
      <c r="BP574" s="29"/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  <c r="CE574" s="29"/>
    </row>
    <row r="575"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29"/>
      <c r="BN575" s="29"/>
      <c r="BO575" s="29"/>
      <c r="BP575" s="29"/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  <c r="CE575" s="29"/>
    </row>
    <row r="576"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29"/>
      <c r="BN576" s="29"/>
      <c r="BO576" s="29"/>
      <c r="BP576" s="29"/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  <c r="CE576" s="29"/>
    </row>
    <row r="577"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29"/>
      <c r="BN577" s="29"/>
      <c r="BO577" s="29"/>
      <c r="BP577" s="29"/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  <c r="CE577" s="29"/>
    </row>
    <row r="578"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29"/>
      <c r="BN578" s="29"/>
      <c r="BO578" s="29"/>
      <c r="BP578" s="29"/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  <c r="CE578" s="29"/>
    </row>
    <row r="579"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29"/>
      <c r="BN579" s="29"/>
      <c r="BO579" s="29"/>
      <c r="BP579" s="29"/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  <c r="CE579" s="29"/>
    </row>
    <row r="580"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29"/>
      <c r="BN580" s="29"/>
      <c r="BO580" s="29"/>
      <c r="BP580" s="29"/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  <c r="CE580" s="29"/>
    </row>
    <row r="581"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29"/>
      <c r="BN581" s="29"/>
      <c r="BO581" s="29"/>
      <c r="BP581" s="29"/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  <c r="CE581" s="29"/>
    </row>
    <row r="582"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29"/>
      <c r="BN582" s="29"/>
      <c r="BO582" s="29"/>
      <c r="BP582" s="29"/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  <c r="CE582" s="29"/>
    </row>
    <row r="583"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29"/>
      <c r="BN583" s="29"/>
      <c r="BO583" s="29"/>
      <c r="BP583" s="29"/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  <c r="CE583" s="29"/>
    </row>
    <row r="584"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29"/>
      <c r="BN584" s="29"/>
      <c r="BO584" s="29"/>
      <c r="BP584" s="29"/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  <c r="CE584" s="29"/>
    </row>
    <row r="585"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29"/>
      <c r="BN585" s="29"/>
      <c r="BO585" s="29"/>
      <c r="BP585" s="29"/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  <c r="CE585" s="29"/>
    </row>
    <row r="586"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29"/>
      <c r="BN586" s="29"/>
      <c r="BO586" s="29"/>
      <c r="BP586" s="29"/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  <c r="CE586" s="29"/>
    </row>
    <row r="587"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29"/>
      <c r="BN587" s="29"/>
      <c r="BO587" s="29"/>
      <c r="BP587" s="29"/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  <c r="CE587" s="29"/>
    </row>
    <row r="588"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29"/>
      <c r="BN588" s="29"/>
      <c r="BO588" s="29"/>
      <c r="BP588" s="29"/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  <c r="CE588" s="29"/>
    </row>
    <row r="589"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29"/>
      <c r="BN589" s="29"/>
      <c r="BO589" s="29"/>
      <c r="BP589" s="29"/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  <c r="CE589" s="29"/>
    </row>
    <row r="590"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29"/>
      <c r="BN590" s="29"/>
      <c r="BO590" s="29"/>
      <c r="BP590" s="29"/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  <c r="CE590" s="29"/>
    </row>
    <row r="591"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29"/>
      <c r="BN591" s="29"/>
      <c r="BO591" s="29"/>
      <c r="BP591" s="29"/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  <c r="CE591" s="29"/>
    </row>
    <row r="592"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  <c r="BC592" s="29"/>
      <c r="BD592" s="29"/>
      <c r="BE592" s="29"/>
      <c r="BF592" s="29"/>
      <c r="BG592" s="29"/>
      <c r="BH592" s="29"/>
      <c r="BI592" s="29"/>
      <c r="BJ592" s="29"/>
      <c r="BK592" s="29"/>
      <c r="BL592" s="29"/>
      <c r="BM592" s="29"/>
      <c r="BN592" s="29"/>
      <c r="BO592" s="29"/>
      <c r="BP592" s="29"/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  <c r="CE592" s="29"/>
    </row>
    <row r="593"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  <c r="BC593" s="29"/>
      <c r="BD593" s="29"/>
      <c r="BE593" s="29"/>
      <c r="BF593" s="29"/>
      <c r="BG593" s="29"/>
      <c r="BH593" s="29"/>
      <c r="BI593" s="29"/>
      <c r="BJ593" s="29"/>
      <c r="BK593" s="29"/>
      <c r="BL593" s="29"/>
      <c r="BM593" s="29"/>
      <c r="BN593" s="29"/>
      <c r="BO593" s="29"/>
      <c r="BP593" s="29"/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  <c r="CE593" s="29"/>
    </row>
    <row r="594"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  <c r="BC594" s="29"/>
      <c r="BD594" s="29"/>
      <c r="BE594" s="29"/>
      <c r="BF594" s="29"/>
      <c r="BG594" s="29"/>
      <c r="BH594" s="29"/>
      <c r="BI594" s="29"/>
      <c r="BJ594" s="29"/>
      <c r="BK594" s="29"/>
      <c r="BL594" s="29"/>
      <c r="BM594" s="29"/>
      <c r="BN594" s="29"/>
      <c r="BO594" s="29"/>
      <c r="BP594" s="29"/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  <c r="CE594" s="29"/>
    </row>
    <row r="595"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  <c r="BC595" s="29"/>
      <c r="BD595" s="29"/>
      <c r="BE595" s="29"/>
      <c r="BF595" s="29"/>
      <c r="BG595" s="29"/>
      <c r="BH595" s="29"/>
      <c r="BI595" s="29"/>
      <c r="BJ595" s="29"/>
      <c r="BK595" s="29"/>
      <c r="BL595" s="29"/>
      <c r="BM595" s="29"/>
      <c r="BN595" s="29"/>
      <c r="BO595" s="29"/>
      <c r="BP595" s="29"/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  <c r="CE595" s="29"/>
    </row>
    <row r="596"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  <c r="BC596" s="29"/>
      <c r="BD596" s="29"/>
      <c r="BE596" s="29"/>
      <c r="BF596" s="29"/>
      <c r="BG596" s="29"/>
      <c r="BH596" s="29"/>
      <c r="BI596" s="29"/>
      <c r="BJ596" s="29"/>
      <c r="BK596" s="29"/>
      <c r="BL596" s="29"/>
      <c r="BM596" s="29"/>
      <c r="BN596" s="29"/>
      <c r="BO596" s="29"/>
      <c r="BP596" s="29"/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  <c r="CE596" s="29"/>
    </row>
    <row r="597"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  <c r="BC597" s="29"/>
      <c r="BD597" s="29"/>
      <c r="BE597" s="29"/>
      <c r="BF597" s="29"/>
      <c r="BG597" s="29"/>
      <c r="BH597" s="29"/>
      <c r="BI597" s="29"/>
      <c r="BJ597" s="29"/>
      <c r="BK597" s="29"/>
      <c r="BL597" s="29"/>
      <c r="BM597" s="29"/>
      <c r="BN597" s="29"/>
      <c r="BO597" s="29"/>
      <c r="BP597" s="29"/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  <c r="CE597" s="29"/>
    </row>
    <row r="598"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29"/>
      <c r="BF598" s="29"/>
      <c r="BG598" s="29"/>
      <c r="BH598" s="29"/>
      <c r="BI598" s="29"/>
      <c r="BJ598" s="29"/>
      <c r="BK598" s="29"/>
      <c r="BL598" s="29"/>
      <c r="BM598" s="29"/>
      <c r="BN598" s="29"/>
      <c r="BO598" s="29"/>
      <c r="BP598" s="29"/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  <c r="CE598" s="29"/>
    </row>
    <row r="599"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  <c r="BC599" s="29"/>
      <c r="BD599" s="29"/>
      <c r="BE599" s="29"/>
      <c r="BF599" s="29"/>
      <c r="BG599" s="29"/>
      <c r="BH599" s="29"/>
      <c r="BI599" s="29"/>
      <c r="BJ599" s="29"/>
      <c r="BK599" s="29"/>
      <c r="BL599" s="29"/>
      <c r="BM599" s="29"/>
      <c r="BN599" s="29"/>
      <c r="BO599" s="29"/>
      <c r="BP599" s="29"/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  <c r="CE599" s="29"/>
    </row>
    <row r="600"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  <c r="BC600" s="29"/>
      <c r="BD600" s="29"/>
      <c r="BE600" s="29"/>
      <c r="BF600" s="29"/>
      <c r="BG600" s="29"/>
      <c r="BH600" s="29"/>
      <c r="BI600" s="29"/>
      <c r="BJ600" s="29"/>
      <c r="BK600" s="29"/>
      <c r="BL600" s="29"/>
      <c r="BM600" s="29"/>
      <c r="BN600" s="29"/>
      <c r="BO600" s="29"/>
      <c r="BP600" s="29"/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  <c r="CE600" s="29"/>
    </row>
    <row r="601"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  <c r="BC601" s="29"/>
      <c r="BD601" s="29"/>
      <c r="BE601" s="29"/>
      <c r="BF601" s="29"/>
      <c r="BG601" s="29"/>
      <c r="BH601" s="29"/>
      <c r="BI601" s="29"/>
      <c r="BJ601" s="29"/>
      <c r="BK601" s="29"/>
      <c r="BL601" s="29"/>
      <c r="BM601" s="29"/>
      <c r="BN601" s="29"/>
      <c r="BO601" s="29"/>
      <c r="BP601" s="29"/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  <c r="CE601" s="29"/>
    </row>
    <row r="602"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  <c r="BC602" s="29"/>
      <c r="BD602" s="29"/>
      <c r="BE602" s="29"/>
      <c r="BF602" s="29"/>
      <c r="BG602" s="29"/>
      <c r="BH602" s="29"/>
      <c r="BI602" s="29"/>
      <c r="BJ602" s="29"/>
      <c r="BK602" s="29"/>
      <c r="BL602" s="29"/>
      <c r="BM602" s="29"/>
      <c r="BN602" s="29"/>
      <c r="BO602" s="29"/>
      <c r="BP602" s="29"/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  <c r="CE602" s="29"/>
    </row>
    <row r="603"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  <c r="BC603" s="29"/>
      <c r="BD603" s="29"/>
      <c r="BE603" s="29"/>
      <c r="BF603" s="29"/>
      <c r="BG603" s="29"/>
      <c r="BH603" s="29"/>
      <c r="BI603" s="29"/>
      <c r="BJ603" s="29"/>
      <c r="BK603" s="29"/>
      <c r="BL603" s="29"/>
      <c r="BM603" s="29"/>
      <c r="BN603" s="29"/>
      <c r="BO603" s="29"/>
      <c r="BP603" s="29"/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  <c r="CE603" s="29"/>
    </row>
    <row r="604"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  <c r="BC604" s="29"/>
      <c r="BD604" s="29"/>
      <c r="BE604" s="29"/>
      <c r="BF604" s="29"/>
      <c r="BG604" s="29"/>
      <c r="BH604" s="29"/>
      <c r="BI604" s="29"/>
      <c r="BJ604" s="29"/>
      <c r="BK604" s="29"/>
      <c r="BL604" s="29"/>
      <c r="BM604" s="29"/>
      <c r="BN604" s="29"/>
      <c r="BO604" s="29"/>
      <c r="BP604" s="29"/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  <c r="CE604" s="29"/>
    </row>
    <row r="605"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  <c r="BC605" s="29"/>
      <c r="BD605" s="29"/>
      <c r="BE605" s="29"/>
      <c r="BF605" s="29"/>
      <c r="BG605" s="29"/>
      <c r="BH605" s="29"/>
      <c r="BI605" s="29"/>
      <c r="BJ605" s="29"/>
      <c r="BK605" s="29"/>
      <c r="BL605" s="29"/>
      <c r="BM605" s="29"/>
      <c r="BN605" s="29"/>
      <c r="BO605" s="29"/>
      <c r="BP605" s="29"/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  <c r="CE605" s="29"/>
    </row>
    <row r="606"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  <c r="BC606" s="29"/>
      <c r="BD606" s="29"/>
      <c r="BE606" s="29"/>
      <c r="BF606" s="29"/>
      <c r="BG606" s="29"/>
      <c r="BH606" s="29"/>
      <c r="BI606" s="29"/>
      <c r="BJ606" s="29"/>
      <c r="BK606" s="29"/>
      <c r="BL606" s="29"/>
      <c r="BM606" s="29"/>
      <c r="BN606" s="29"/>
      <c r="BO606" s="29"/>
      <c r="BP606" s="29"/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  <c r="CE606" s="29"/>
    </row>
    <row r="607"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  <c r="BC607" s="29"/>
      <c r="BD607" s="29"/>
      <c r="BE607" s="29"/>
      <c r="BF607" s="29"/>
      <c r="BG607" s="29"/>
      <c r="BH607" s="29"/>
      <c r="BI607" s="29"/>
      <c r="BJ607" s="29"/>
      <c r="BK607" s="29"/>
      <c r="BL607" s="29"/>
      <c r="BM607" s="29"/>
      <c r="BN607" s="29"/>
      <c r="BO607" s="29"/>
      <c r="BP607" s="29"/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  <c r="CE607" s="29"/>
    </row>
    <row r="608"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  <c r="BC608" s="29"/>
      <c r="BD608" s="29"/>
      <c r="BE608" s="29"/>
      <c r="BF608" s="29"/>
      <c r="BG608" s="29"/>
      <c r="BH608" s="29"/>
      <c r="BI608" s="29"/>
      <c r="BJ608" s="29"/>
      <c r="BK608" s="29"/>
      <c r="BL608" s="29"/>
      <c r="BM608" s="29"/>
      <c r="BN608" s="29"/>
      <c r="BO608" s="29"/>
      <c r="BP608" s="29"/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  <c r="CE608" s="29"/>
    </row>
    <row r="609"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  <c r="BC609" s="29"/>
      <c r="BD609" s="29"/>
      <c r="BE609" s="29"/>
      <c r="BF609" s="29"/>
      <c r="BG609" s="29"/>
      <c r="BH609" s="29"/>
      <c r="BI609" s="29"/>
      <c r="BJ609" s="29"/>
      <c r="BK609" s="29"/>
      <c r="BL609" s="29"/>
      <c r="BM609" s="29"/>
      <c r="BN609" s="29"/>
      <c r="BO609" s="29"/>
      <c r="BP609" s="29"/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  <c r="CE609" s="29"/>
    </row>
    <row r="610"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  <c r="BC610" s="29"/>
      <c r="BD610" s="29"/>
      <c r="BE610" s="29"/>
      <c r="BF610" s="29"/>
      <c r="BG610" s="29"/>
      <c r="BH610" s="29"/>
      <c r="BI610" s="29"/>
      <c r="BJ610" s="29"/>
      <c r="BK610" s="29"/>
      <c r="BL610" s="29"/>
      <c r="BM610" s="29"/>
      <c r="BN610" s="29"/>
      <c r="BO610" s="29"/>
      <c r="BP610" s="29"/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  <c r="CE610" s="29"/>
    </row>
    <row r="611"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  <c r="BC611" s="29"/>
      <c r="BD611" s="29"/>
      <c r="BE611" s="29"/>
      <c r="BF611" s="29"/>
      <c r="BG611" s="29"/>
      <c r="BH611" s="29"/>
      <c r="BI611" s="29"/>
      <c r="BJ611" s="29"/>
      <c r="BK611" s="29"/>
      <c r="BL611" s="29"/>
      <c r="BM611" s="29"/>
      <c r="BN611" s="29"/>
      <c r="BO611" s="29"/>
      <c r="BP611" s="29"/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  <c r="CE611" s="29"/>
    </row>
    <row r="612"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  <c r="BC612" s="29"/>
      <c r="BD612" s="29"/>
      <c r="BE612" s="29"/>
      <c r="BF612" s="29"/>
      <c r="BG612" s="29"/>
      <c r="BH612" s="29"/>
      <c r="BI612" s="29"/>
      <c r="BJ612" s="29"/>
      <c r="BK612" s="29"/>
      <c r="BL612" s="29"/>
      <c r="BM612" s="29"/>
      <c r="BN612" s="29"/>
      <c r="BO612" s="29"/>
      <c r="BP612" s="29"/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  <c r="CE612" s="29"/>
    </row>
    <row r="613"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  <c r="BC613" s="29"/>
      <c r="BD613" s="29"/>
      <c r="BE613" s="29"/>
      <c r="BF613" s="29"/>
      <c r="BG613" s="29"/>
      <c r="BH613" s="29"/>
      <c r="BI613" s="29"/>
      <c r="BJ613" s="29"/>
      <c r="BK613" s="29"/>
      <c r="BL613" s="29"/>
      <c r="BM613" s="29"/>
      <c r="BN613" s="29"/>
      <c r="BO613" s="29"/>
      <c r="BP613" s="29"/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  <c r="CE613" s="29"/>
    </row>
    <row r="614"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  <c r="BC614" s="29"/>
      <c r="BD614" s="29"/>
      <c r="BE614" s="29"/>
      <c r="BF614" s="29"/>
      <c r="BG614" s="29"/>
      <c r="BH614" s="29"/>
      <c r="BI614" s="29"/>
      <c r="BJ614" s="29"/>
      <c r="BK614" s="29"/>
      <c r="BL614" s="29"/>
      <c r="BM614" s="29"/>
      <c r="BN614" s="29"/>
      <c r="BO614" s="29"/>
      <c r="BP614" s="29"/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  <c r="CE614" s="29"/>
    </row>
    <row r="615"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  <c r="BC615" s="29"/>
      <c r="BD615" s="29"/>
      <c r="BE615" s="29"/>
      <c r="BF615" s="29"/>
      <c r="BG615" s="29"/>
      <c r="BH615" s="29"/>
      <c r="BI615" s="29"/>
      <c r="BJ615" s="29"/>
      <c r="BK615" s="29"/>
      <c r="BL615" s="29"/>
      <c r="BM615" s="29"/>
      <c r="BN615" s="29"/>
      <c r="BO615" s="29"/>
      <c r="BP615" s="29"/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  <c r="CE615" s="29"/>
    </row>
    <row r="616"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  <c r="BC616" s="29"/>
      <c r="BD616" s="29"/>
      <c r="BE616" s="29"/>
      <c r="BF616" s="29"/>
      <c r="BG616" s="29"/>
      <c r="BH616" s="29"/>
      <c r="BI616" s="29"/>
      <c r="BJ616" s="29"/>
      <c r="BK616" s="29"/>
      <c r="BL616" s="29"/>
      <c r="BM616" s="29"/>
      <c r="BN616" s="29"/>
      <c r="BO616" s="29"/>
      <c r="BP616" s="29"/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  <c r="CE616" s="29"/>
    </row>
    <row r="617"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  <c r="BC617" s="29"/>
      <c r="BD617" s="29"/>
      <c r="BE617" s="29"/>
      <c r="BF617" s="29"/>
      <c r="BG617" s="29"/>
      <c r="BH617" s="29"/>
      <c r="BI617" s="29"/>
      <c r="BJ617" s="29"/>
      <c r="BK617" s="29"/>
      <c r="BL617" s="29"/>
      <c r="BM617" s="29"/>
      <c r="BN617" s="29"/>
      <c r="BO617" s="29"/>
      <c r="BP617" s="29"/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  <c r="CE617" s="29"/>
    </row>
    <row r="618"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  <c r="BC618" s="29"/>
      <c r="BD618" s="29"/>
      <c r="BE618" s="29"/>
      <c r="BF618" s="29"/>
      <c r="BG618" s="29"/>
      <c r="BH618" s="29"/>
      <c r="BI618" s="29"/>
      <c r="BJ618" s="29"/>
      <c r="BK618" s="29"/>
      <c r="BL618" s="29"/>
      <c r="BM618" s="29"/>
      <c r="BN618" s="29"/>
      <c r="BO618" s="29"/>
      <c r="BP618" s="29"/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  <c r="CE618" s="29"/>
    </row>
    <row r="619"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  <c r="BC619" s="29"/>
      <c r="BD619" s="29"/>
      <c r="BE619" s="29"/>
      <c r="BF619" s="29"/>
      <c r="BG619" s="29"/>
      <c r="BH619" s="29"/>
      <c r="BI619" s="29"/>
      <c r="BJ619" s="29"/>
      <c r="BK619" s="29"/>
      <c r="BL619" s="29"/>
      <c r="BM619" s="29"/>
      <c r="BN619" s="29"/>
      <c r="BO619" s="29"/>
      <c r="BP619" s="29"/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  <c r="CE619" s="29"/>
    </row>
    <row r="620"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  <c r="BC620" s="29"/>
      <c r="BD620" s="29"/>
      <c r="BE620" s="29"/>
      <c r="BF620" s="29"/>
      <c r="BG620" s="29"/>
      <c r="BH620" s="29"/>
      <c r="BI620" s="29"/>
      <c r="BJ620" s="29"/>
      <c r="BK620" s="29"/>
      <c r="BL620" s="29"/>
      <c r="BM620" s="29"/>
      <c r="BN620" s="29"/>
      <c r="BO620" s="29"/>
      <c r="BP620" s="29"/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  <c r="CE620" s="29"/>
    </row>
    <row r="621"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  <c r="BC621" s="29"/>
      <c r="BD621" s="29"/>
      <c r="BE621" s="29"/>
      <c r="BF621" s="29"/>
      <c r="BG621" s="29"/>
      <c r="BH621" s="29"/>
      <c r="BI621" s="29"/>
      <c r="BJ621" s="29"/>
      <c r="BK621" s="29"/>
      <c r="BL621" s="29"/>
      <c r="BM621" s="29"/>
      <c r="BN621" s="29"/>
      <c r="BO621" s="29"/>
      <c r="BP621" s="29"/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  <c r="CE621" s="29"/>
    </row>
    <row r="622"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  <c r="BC622" s="29"/>
      <c r="BD622" s="29"/>
      <c r="BE622" s="29"/>
      <c r="BF622" s="29"/>
      <c r="BG622" s="29"/>
      <c r="BH622" s="29"/>
      <c r="BI622" s="29"/>
      <c r="BJ622" s="29"/>
      <c r="BK622" s="29"/>
      <c r="BL622" s="29"/>
      <c r="BM622" s="29"/>
      <c r="BN622" s="29"/>
      <c r="BO622" s="29"/>
      <c r="BP622" s="29"/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  <c r="CE622" s="29"/>
    </row>
    <row r="623"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  <c r="BC623" s="29"/>
      <c r="BD623" s="29"/>
      <c r="BE623" s="29"/>
      <c r="BF623" s="29"/>
      <c r="BG623" s="29"/>
      <c r="BH623" s="29"/>
      <c r="BI623" s="29"/>
      <c r="BJ623" s="29"/>
      <c r="BK623" s="29"/>
      <c r="BL623" s="29"/>
      <c r="BM623" s="29"/>
      <c r="BN623" s="29"/>
      <c r="BO623" s="29"/>
      <c r="BP623" s="29"/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  <c r="CE623" s="29"/>
    </row>
    <row r="624"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  <c r="BC624" s="29"/>
      <c r="BD624" s="29"/>
      <c r="BE624" s="29"/>
      <c r="BF624" s="29"/>
      <c r="BG624" s="29"/>
      <c r="BH624" s="29"/>
      <c r="BI624" s="29"/>
      <c r="BJ624" s="29"/>
      <c r="BK624" s="29"/>
      <c r="BL624" s="29"/>
      <c r="BM624" s="29"/>
      <c r="BN624" s="29"/>
      <c r="BO624" s="29"/>
      <c r="BP624" s="29"/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  <c r="CE624" s="29"/>
    </row>
    <row r="625"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  <c r="BC625" s="29"/>
      <c r="BD625" s="29"/>
      <c r="BE625" s="29"/>
      <c r="BF625" s="29"/>
      <c r="BG625" s="29"/>
      <c r="BH625" s="29"/>
      <c r="BI625" s="29"/>
      <c r="BJ625" s="29"/>
      <c r="BK625" s="29"/>
      <c r="BL625" s="29"/>
      <c r="BM625" s="29"/>
      <c r="BN625" s="29"/>
      <c r="BO625" s="29"/>
      <c r="BP625" s="29"/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  <c r="CE625" s="29"/>
    </row>
    <row r="626"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  <c r="BC626" s="29"/>
      <c r="BD626" s="29"/>
      <c r="BE626" s="29"/>
      <c r="BF626" s="29"/>
      <c r="BG626" s="29"/>
      <c r="BH626" s="29"/>
      <c r="BI626" s="29"/>
      <c r="BJ626" s="29"/>
      <c r="BK626" s="29"/>
      <c r="BL626" s="29"/>
      <c r="BM626" s="29"/>
      <c r="BN626" s="29"/>
      <c r="BO626" s="29"/>
      <c r="BP626" s="29"/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  <c r="CE626" s="29"/>
    </row>
    <row r="627"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  <c r="BC627" s="29"/>
      <c r="BD627" s="29"/>
      <c r="BE627" s="29"/>
      <c r="BF627" s="29"/>
      <c r="BG627" s="29"/>
      <c r="BH627" s="29"/>
      <c r="BI627" s="29"/>
      <c r="BJ627" s="29"/>
      <c r="BK627" s="29"/>
      <c r="BL627" s="29"/>
      <c r="BM627" s="29"/>
      <c r="BN627" s="29"/>
      <c r="BO627" s="29"/>
      <c r="BP627" s="29"/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  <c r="CE627" s="29"/>
    </row>
    <row r="628"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  <c r="BC628" s="29"/>
      <c r="BD628" s="29"/>
      <c r="BE628" s="29"/>
      <c r="BF628" s="29"/>
      <c r="BG628" s="29"/>
      <c r="BH628" s="29"/>
      <c r="BI628" s="29"/>
      <c r="BJ628" s="29"/>
      <c r="BK628" s="29"/>
      <c r="BL628" s="29"/>
      <c r="BM628" s="29"/>
      <c r="BN628" s="29"/>
      <c r="BO628" s="29"/>
      <c r="BP628" s="29"/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  <c r="CE628" s="29"/>
    </row>
    <row r="629"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  <c r="BC629" s="29"/>
      <c r="BD629" s="29"/>
      <c r="BE629" s="29"/>
      <c r="BF629" s="29"/>
      <c r="BG629" s="29"/>
      <c r="BH629" s="29"/>
      <c r="BI629" s="29"/>
      <c r="BJ629" s="29"/>
      <c r="BK629" s="29"/>
      <c r="BL629" s="29"/>
      <c r="BM629" s="29"/>
      <c r="BN629" s="29"/>
      <c r="BO629" s="29"/>
      <c r="BP629" s="29"/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  <c r="CE629" s="29"/>
    </row>
    <row r="630"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  <c r="BC630" s="29"/>
      <c r="BD630" s="29"/>
      <c r="BE630" s="29"/>
      <c r="BF630" s="29"/>
      <c r="BG630" s="29"/>
      <c r="BH630" s="29"/>
      <c r="BI630" s="29"/>
      <c r="BJ630" s="29"/>
      <c r="BK630" s="29"/>
      <c r="BL630" s="29"/>
      <c r="BM630" s="29"/>
      <c r="BN630" s="29"/>
      <c r="BO630" s="29"/>
      <c r="BP630" s="29"/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  <c r="CE630" s="29"/>
    </row>
    <row r="631"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  <c r="BC631" s="29"/>
      <c r="BD631" s="29"/>
      <c r="BE631" s="29"/>
      <c r="BF631" s="29"/>
      <c r="BG631" s="29"/>
      <c r="BH631" s="29"/>
      <c r="BI631" s="29"/>
      <c r="BJ631" s="29"/>
      <c r="BK631" s="29"/>
      <c r="BL631" s="29"/>
      <c r="BM631" s="29"/>
      <c r="BN631" s="29"/>
      <c r="BO631" s="29"/>
      <c r="BP631" s="29"/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  <c r="CE631" s="29"/>
    </row>
    <row r="632"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  <c r="BC632" s="29"/>
      <c r="BD632" s="29"/>
      <c r="BE632" s="29"/>
      <c r="BF632" s="29"/>
      <c r="BG632" s="29"/>
      <c r="BH632" s="29"/>
      <c r="BI632" s="29"/>
      <c r="BJ632" s="29"/>
      <c r="BK632" s="29"/>
      <c r="BL632" s="29"/>
      <c r="BM632" s="29"/>
      <c r="BN632" s="29"/>
      <c r="BO632" s="29"/>
      <c r="BP632" s="29"/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  <c r="CE632" s="29"/>
    </row>
    <row r="633"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  <c r="BC633" s="29"/>
      <c r="BD633" s="29"/>
      <c r="BE633" s="29"/>
      <c r="BF633" s="29"/>
      <c r="BG633" s="29"/>
      <c r="BH633" s="29"/>
      <c r="BI633" s="29"/>
      <c r="BJ633" s="29"/>
      <c r="BK633" s="29"/>
      <c r="BL633" s="29"/>
      <c r="BM633" s="29"/>
      <c r="BN633" s="29"/>
      <c r="BO633" s="29"/>
      <c r="BP633" s="29"/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  <c r="CE633" s="29"/>
    </row>
    <row r="634"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  <c r="BC634" s="29"/>
      <c r="BD634" s="29"/>
      <c r="BE634" s="29"/>
      <c r="BF634" s="29"/>
      <c r="BG634" s="29"/>
      <c r="BH634" s="29"/>
      <c r="BI634" s="29"/>
      <c r="BJ634" s="29"/>
      <c r="BK634" s="29"/>
      <c r="BL634" s="29"/>
      <c r="BM634" s="29"/>
      <c r="BN634" s="29"/>
      <c r="BO634" s="29"/>
      <c r="BP634" s="29"/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  <c r="CE634" s="29"/>
    </row>
    <row r="635"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  <c r="BC635" s="29"/>
      <c r="BD635" s="29"/>
      <c r="BE635" s="29"/>
      <c r="BF635" s="29"/>
      <c r="BG635" s="29"/>
      <c r="BH635" s="29"/>
      <c r="BI635" s="29"/>
      <c r="BJ635" s="29"/>
      <c r="BK635" s="29"/>
      <c r="BL635" s="29"/>
      <c r="BM635" s="29"/>
      <c r="BN635" s="29"/>
      <c r="BO635" s="29"/>
      <c r="BP635" s="29"/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  <c r="CE635" s="29"/>
    </row>
    <row r="636"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  <c r="BC636" s="29"/>
      <c r="BD636" s="29"/>
      <c r="BE636" s="29"/>
      <c r="BF636" s="29"/>
      <c r="BG636" s="29"/>
      <c r="BH636" s="29"/>
      <c r="BI636" s="29"/>
      <c r="BJ636" s="29"/>
      <c r="BK636" s="29"/>
      <c r="BL636" s="29"/>
      <c r="BM636" s="29"/>
      <c r="BN636" s="29"/>
      <c r="BO636" s="29"/>
      <c r="BP636" s="29"/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  <c r="CE636" s="29"/>
    </row>
    <row r="637"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  <c r="BC637" s="29"/>
      <c r="BD637" s="29"/>
      <c r="BE637" s="29"/>
      <c r="BF637" s="29"/>
      <c r="BG637" s="29"/>
      <c r="BH637" s="29"/>
      <c r="BI637" s="29"/>
      <c r="BJ637" s="29"/>
      <c r="BK637" s="29"/>
      <c r="BL637" s="29"/>
      <c r="BM637" s="29"/>
      <c r="BN637" s="29"/>
      <c r="BO637" s="29"/>
      <c r="BP637" s="29"/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  <c r="CE637" s="29"/>
    </row>
    <row r="638"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  <c r="BC638" s="29"/>
      <c r="BD638" s="29"/>
      <c r="BE638" s="29"/>
      <c r="BF638" s="29"/>
      <c r="BG638" s="29"/>
      <c r="BH638" s="29"/>
      <c r="BI638" s="29"/>
      <c r="BJ638" s="29"/>
      <c r="BK638" s="29"/>
      <c r="BL638" s="29"/>
      <c r="BM638" s="29"/>
      <c r="BN638" s="29"/>
      <c r="BO638" s="29"/>
      <c r="BP638" s="29"/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  <c r="CE638" s="29"/>
    </row>
    <row r="639"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  <c r="BC639" s="29"/>
      <c r="BD639" s="29"/>
      <c r="BE639" s="29"/>
      <c r="BF639" s="29"/>
      <c r="BG639" s="29"/>
      <c r="BH639" s="29"/>
      <c r="BI639" s="29"/>
      <c r="BJ639" s="29"/>
      <c r="BK639" s="29"/>
      <c r="BL639" s="29"/>
      <c r="BM639" s="29"/>
      <c r="BN639" s="29"/>
      <c r="BO639" s="29"/>
      <c r="BP639" s="29"/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  <c r="CE639" s="29"/>
    </row>
    <row r="640"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  <c r="BC640" s="29"/>
      <c r="BD640" s="29"/>
      <c r="BE640" s="29"/>
      <c r="BF640" s="29"/>
      <c r="BG640" s="29"/>
      <c r="BH640" s="29"/>
      <c r="BI640" s="29"/>
      <c r="BJ640" s="29"/>
      <c r="BK640" s="29"/>
      <c r="BL640" s="29"/>
      <c r="BM640" s="29"/>
      <c r="BN640" s="29"/>
      <c r="BO640" s="29"/>
      <c r="BP640" s="29"/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  <c r="CE640" s="29"/>
    </row>
    <row r="641"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  <c r="BC641" s="29"/>
      <c r="BD641" s="29"/>
      <c r="BE641" s="29"/>
      <c r="BF641" s="29"/>
      <c r="BG641" s="29"/>
      <c r="BH641" s="29"/>
      <c r="BI641" s="29"/>
      <c r="BJ641" s="29"/>
      <c r="BK641" s="29"/>
      <c r="BL641" s="29"/>
      <c r="BM641" s="29"/>
      <c r="BN641" s="29"/>
      <c r="BO641" s="29"/>
      <c r="BP641" s="29"/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  <c r="CE641" s="29"/>
    </row>
    <row r="642"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  <c r="BC642" s="29"/>
      <c r="BD642" s="29"/>
      <c r="BE642" s="29"/>
      <c r="BF642" s="29"/>
      <c r="BG642" s="29"/>
      <c r="BH642" s="29"/>
      <c r="BI642" s="29"/>
      <c r="BJ642" s="29"/>
      <c r="BK642" s="29"/>
      <c r="BL642" s="29"/>
      <c r="BM642" s="29"/>
      <c r="BN642" s="29"/>
      <c r="BO642" s="29"/>
      <c r="BP642" s="29"/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  <c r="CE642" s="29"/>
    </row>
    <row r="643"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  <c r="BC643" s="29"/>
      <c r="BD643" s="29"/>
      <c r="BE643" s="29"/>
      <c r="BF643" s="29"/>
      <c r="BG643" s="29"/>
      <c r="BH643" s="29"/>
      <c r="BI643" s="29"/>
      <c r="BJ643" s="29"/>
      <c r="BK643" s="29"/>
      <c r="BL643" s="29"/>
      <c r="BM643" s="29"/>
      <c r="BN643" s="29"/>
      <c r="BO643" s="29"/>
      <c r="BP643" s="29"/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  <c r="CE643" s="29"/>
    </row>
    <row r="644"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  <c r="BC644" s="29"/>
      <c r="BD644" s="29"/>
      <c r="BE644" s="29"/>
      <c r="BF644" s="29"/>
      <c r="BG644" s="29"/>
      <c r="BH644" s="29"/>
      <c r="BI644" s="29"/>
      <c r="BJ644" s="29"/>
      <c r="BK644" s="29"/>
      <c r="BL644" s="29"/>
      <c r="BM644" s="29"/>
      <c r="BN644" s="29"/>
      <c r="BO644" s="29"/>
      <c r="BP644" s="29"/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  <c r="CE644" s="29"/>
    </row>
    <row r="645"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  <c r="BC645" s="29"/>
      <c r="BD645" s="29"/>
      <c r="BE645" s="29"/>
      <c r="BF645" s="29"/>
      <c r="BG645" s="29"/>
      <c r="BH645" s="29"/>
      <c r="BI645" s="29"/>
      <c r="BJ645" s="29"/>
      <c r="BK645" s="29"/>
      <c r="BL645" s="29"/>
      <c r="BM645" s="29"/>
      <c r="BN645" s="29"/>
      <c r="BO645" s="29"/>
      <c r="BP645" s="29"/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  <c r="CE645" s="29"/>
    </row>
    <row r="646"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  <c r="BC646" s="29"/>
      <c r="BD646" s="29"/>
      <c r="BE646" s="29"/>
      <c r="BF646" s="29"/>
      <c r="BG646" s="29"/>
      <c r="BH646" s="29"/>
      <c r="BI646" s="29"/>
      <c r="BJ646" s="29"/>
      <c r="BK646" s="29"/>
      <c r="BL646" s="29"/>
      <c r="BM646" s="29"/>
      <c r="BN646" s="29"/>
      <c r="BO646" s="29"/>
      <c r="BP646" s="29"/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  <c r="CE646" s="29"/>
    </row>
    <row r="647"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  <c r="BC647" s="29"/>
      <c r="BD647" s="29"/>
      <c r="BE647" s="29"/>
      <c r="BF647" s="29"/>
      <c r="BG647" s="29"/>
      <c r="BH647" s="29"/>
      <c r="BI647" s="29"/>
      <c r="BJ647" s="29"/>
      <c r="BK647" s="29"/>
      <c r="BL647" s="29"/>
      <c r="BM647" s="29"/>
      <c r="BN647" s="29"/>
      <c r="BO647" s="29"/>
      <c r="BP647" s="29"/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  <c r="CE647" s="29"/>
    </row>
    <row r="648"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  <c r="BC648" s="29"/>
      <c r="BD648" s="29"/>
      <c r="BE648" s="29"/>
      <c r="BF648" s="29"/>
      <c r="BG648" s="29"/>
      <c r="BH648" s="29"/>
      <c r="BI648" s="29"/>
      <c r="BJ648" s="29"/>
      <c r="BK648" s="29"/>
      <c r="BL648" s="29"/>
      <c r="BM648" s="29"/>
      <c r="BN648" s="29"/>
      <c r="BO648" s="29"/>
      <c r="BP648" s="29"/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  <c r="CE648" s="29"/>
    </row>
    <row r="649"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  <c r="BC649" s="29"/>
      <c r="BD649" s="29"/>
      <c r="BE649" s="29"/>
      <c r="BF649" s="29"/>
      <c r="BG649" s="29"/>
      <c r="BH649" s="29"/>
      <c r="BI649" s="29"/>
      <c r="BJ649" s="29"/>
      <c r="BK649" s="29"/>
      <c r="BL649" s="29"/>
      <c r="BM649" s="29"/>
      <c r="BN649" s="29"/>
      <c r="BO649" s="29"/>
      <c r="BP649" s="29"/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  <c r="CE649" s="29"/>
    </row>
    <row r="650"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  <c r="BC650" s="29"/>
      <c r="BD650" s="29"/>
      <c r="BE650" s="29"/>
      <c r="BF650" s="29"/>
      <c r="BG650" s="29"/>
      <c r="BH650" s="29"/>
      <c r="BI650" s="29"/>
      <c r="BJ650" s="29"/>
      <c r="BK650" s="29"/>
      <c r="BL650" s="29"/>
      <c r="BM650" s="29"/>
      <c r="BN650" s="29"/>
      <c r="BO650" s="29"/>
      <c r="BP650" s="29"/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  <c r="CE650" s="29"/>
    </row>
    <row r="651"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  <c r="BC651" s="29"/>
      <c r="BD651" s="29"/>
      <c r="BE651" s="29"/>
      <c r="BF651" s="29"/>
      <c r="BG651" s="29"/>
      <c r="BH651" s="29"/>
      <c r="BI651" s="29"/>
      <c r="BJ651" s="29"/>
      <c r="BK651" s="29"/>
      <c r="BL651" s="29"/>
      <c r="BM651" s="29"/>
      <c r="BN651" s="29"/>
      <c r="BO651" s="29"/>
      <c r="BP651" s="29"/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  <c r="CE651" s="29"/>
    </row>
    <row r="652"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  <c r="BC652" s="29"/>
      <c r="BD652" s="29"/>
      <c r="BE652" s="29"/>
      <c r="BF652" s="29"/>
      <c r="BG652" s="29"/>
      <c r="BH652" s="29"/>
      <c r="BI652" s="29"/>
      <c r="BJ652" s="29"/>
      <c r="BK652" s="29"/>
      <c r="BL652" s="29"/>
      <c r="BM652" s="29"/>
      <c r="BN652" s="29"/>
      <c r="BO652" s="29"/>
      <c r="BP652" s="29"/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  <c r="CE652" s="29"/>
    </row>
    <row r="653"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  <c r="BC653" s="29"/>
      <c r="BD653" s="29"/>
      <c r="BE653" s="29"/>
      <c r="BF653" s="29"/>
      <c r="BG653" s="29"/>
      <c r="BH653" s="29"/>
      <c r="BI653" s="29"/>
      <c r="BJ653" s="29"/>
      <c r="BK653" s="29"/>
      <c r="BL653" s="29"/>
      <c r="BM653" s="29"/>
      <c r="BN653" s="29"/>
      <c r="BO653" s="29"/>
      <c r="BP653" s="29"/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  <c r="CE653" s="29"/>
    </row>
    <row r="654"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  <c r="BC654" s="29"/>
      <c r="BD654" s="29"/>
      <c r="BE654" s="29"/>
      <c r="BF654" s="29"/>
      <c r="BG654" s="29"/>
      <c r="BH654" s="29"/>
      <c r="BI654" s="29"/>
      <c r="BJ654" s="29"/>
      <c r="BK654" s="29"/>
      <c r="BL654" s="29"/>
      <c r="BM654" s="29"/>
      <c r="BN654" s="29"/>
      <c r="BO654" s="29"/>
      <c r="BP654" s="29"/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  <c r="CE654" s="29"/>
    </row>
    <row r="655"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  <c r="BD655" s="29"/>
      <c r="BE655" s="29"/>
      <c r="BF655" s="29"/>
      <c r="BG655" s="29"/>
      <c r="BH655" s="29"/>
      <c r="BI655" s="29"/>
      <c r="BJ655" s="29"/>
      <c r="BK655" s="29"/>
      <c r="BL655" s="29"/>
      <c r="BM655" s="29"/>
      <c r="BN655" s="29"/>
      <c r="BO655" s="29"/>
      <c r="BP655" s="29"/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  <c r="CE655" s="29"/>
    </row>
    <row r="656"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  <c r="BC656" s="29"/>
      <c r="BD656" s="29"/>
      <c r="BE656" s="29"/>
      <c r="BF656" s="29"/>
      <c r="BG656" s="29"/>
      <c r="BH656" s="29"/>
      <c r="BI656" s="29"/>
      <c r="BJ656" s="29"/>
      <c r="BK656" s="29"/>
      <c r="BL656" s="29"/>
      <c r="BM656" s="29"/>
      <c r="BN656" s="29"/>
      <c r="BO656" s="29"/>
      <c r="BP656" s="29"/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  <c r="CE656" s="29"/>
    </row>
    <row r="657"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  <c r="BC657" s="29"/>
      <c r="BD657" s="29"/>
      <c r="BE657" s="29"/>
      <c r="BF657" s="29"/>
      <c r="BG657" s="29"/>
      <c r="BH657" s="29"/>
      <c r="BI657" s="29"/>
      <c r="BJ657" s="29"/>
      <c r="BK657" s="29"/>
      <c r="BL657" s="29"/>
      <c r="BM657" s="29"/>
      <c r="BN657" s="29"/>
      <c r="BO657" s="29"/>
      <c r="BP657" s="29"/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  <c r="CE657" s="29"/>
    </row>
    <row r="658"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  <c r="BC658" s="29"/>
      <c r="BD658" s="29"/>
      <c r="BE658" s="29"/>
      <c r="BF658" s="29"/>
      <c r="BG658" s="29"/>
      <c r="BH658" s="29"/>
      <c r="BI658" s="29"/>
      <c r="BJ658" s="29"/>
      <c r="BK658" s="29"/>
      <c r="BL658" s="29"/>
      <c r="BM658" s="29"/>
      <c r="BN658" s="29"/>
      <c r="BO658" s="29"/>
      <c r="BP658" s="29"/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  <c r="CE658" s="29"/>
    </row>
    <row r="659"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  <c r="BC659" s="29"/>
      <c r="BD659" s="29"/>
      <c r="BE659" s="29"/>
      <c r="BF659" s="29"/>
      <c r="BG659" s="29"/>
      <c r="BH659" s="29"/>
      <c r="BI659" s="29"/>
      <c r="BJ659" s="29"/>
      <c r="BK659" s="29"/>
      <c r="BL659" s="29"/>
      <c r="BM659" s="29"/>
      <c r="BN659" s="29"/>
      <c r="BO659" s="29"/>
      <c r="BP659" s="29"/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  <c r="CE659" s="29"/>
    </row>
    <row r="660"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  <c r="BC660" s="29"/>
      <c r="BD660" s="29"/>
      <c r="BE660" s="29"/>
      <c r="BF660" s="29"/>
      <c r="BG660" s="29"/>
      <c r="BH660" s="29"/>
      <c r="BI660" s="29"/>
      <c r="BJ660" s="29"/>
      <c r="BK660" s="29"/>
      <c r="BL660" s="29"/>
      <c r="BM660" s="29"/>
      <c r="BN660" s="29"/>
      <c r="BO660" s="29"/>
      <c r="BP660" s="29"/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  <c r="CE660" s="29"/>
    </row>
    <row r="661"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  <c r="BC661" s="29"/>
      <c r="BD661" s="29"/>
      <c r="BE661" s="29"/>
      <c r="BF661" s="29"/>
      <c r="BG661" s="29"/>
      <c r="BH661" s="29"/>
      <c r="BI661" s="29"/>
      <c r="BJ661" s="29"/>
      <c r="BK661" s="29"/>
      <c r="BL661" s="29"/>
      <c r="BM661" s="29"/>
      <c r="BN661" s="29"/>
      <c r="BO661" s="29"/>
      <c r="BP661" s="29"/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  <c r="CE661" s="29"/>
    </row>
    <row r="662"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  <c r="BC662" s="29"/>
      <c r="BD662" s="29"/>
      <c r="BE662" s="29"/>
      <c r="BF662" s="29"/>
      <c r="BG662" s="29"/>
      <c r="BH662" s="29"/>
      <c r="BI662" s="29"/>
      <c r="BJ662" s="29"/>
      <c r="BK662" s="29"/>
      <c r="BL662" s="29"/>
      <c r="BM662" s="29"/>
      <c r="BN662" s="29"/>
      <c r="BO662" s="29"/>
      <c r="BP662" s="29"/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  <c r="CE662" s="29"/>
    </row>
    <row r="663"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29"/>
      <c r="BF663" s="29"/>
      <c r="BG663" s="29"/>
      <c r="BH663" s="29"/>
      <c r="BI663" s="29"/>
      <c r="BJ663" s="29"/>
      <c r="BK663" s="29"/>
      <c r="BL663" s="29"/>
      <c r="BM663" s="29"/>
      <c r="BN663" s="29"/>
      <c r="BO663" s="29"/>
      <c r="BP663" s="29"/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  <c r="CE663" s="29"/>
    </row>
    <row r="664"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  <c r="BC664" s="29"/>
      <c r="BD664" s="29"/>
      <c r="BE664" s="29"/>
      <c r="BF664" s="29"/>
      <c r="BG664" s="29"/>
      <c r="BH664" s="29"/>
      <c r="BI664" s="29"/>
      <c r="BJ664" s="29"/>
      <c r="BK664" s="29"/>
      <c r="BL664" s="29"/>
      <c r="BM664" s="29"/>
      <c r="BN664" s="29"/>
      <c r="BO664" s="29"/>
      <c r="BP664" s="29"/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  <c r="CE664" s="29"/>
    </row>
    <row r="665"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  <c r="BC665" s="29"/>
      <c r="BD665" s="29"/>
      <c r="BE665" s="29"/>
      <c r="BF665" s="29"/>
      <c r="BG665" s="29"/>
      <c r="BH665" s="29"/>
      <c r="BI665" s="29"/>
      <c r="BJ665" s="29"/>
      <c r="BK665" s="29"/>
      <c r="BL665" s="29"/>
      <c r="BM665" s="29"/>
      <c r="BN665" s="29"/>
      <c r="BO665" s="29"/>
      <c r="BP665" s="29"/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  <c r="CE665" s="29"/>
    </row>
    <row r="666"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  <c r="BC666" s="29"/>
      <c r="BD666" s="29"/>
      <c r="BE666" s="29"/>
      <c r="BF666" s="29"/>
      <c r="BG666" s="29"/>
      <c r="BH666" s="29"/>
      <c r="BI666" s="29"/>
      <c r="BJ666" s="29"/>
      <c r="BK666" s="29"/>
      <c r="BL666" s="29"/>
      <c r="BM666" s="29"/>
      <c r="BN666" s="29"/>
      <c r="BO666" s="29"/>
      <c r="BP666" s="29"/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  <c r="CE666" s="29"/>
    </row>
    <row r="667"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  <c r="BC667" s="29"/>
      <c r="BD667" s="29"/>
      <c r="BE667" s="29"/>
      <c r="BF667" s="29"/>
      <c r="BG667" s="29"/>
      <c r="BH667" s="29"/>
      <c r="BI667" s="29"/>
      <c r="BJ667" s="29"/>
      <c r="BK667" s="29"/>
      <c r="BL667" s="29"/>
      <c r="BM667" s="29"/>
      <c r="BN667" s="29"/>
      <c r="BO667" s="29"/>
      <c r="BP667" s="29"/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  <c r="CE667" s="29"/>
    </row>
    <row r="668"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  <c r="BC668" s="29"/>
      <c r="BD668" s="29"/>
      <c r="BE668" s="29"/>
      <c r="BF668" s="29"/>
      <c r="BG668" s="29"/>
      <c r="BH668" s="29"/>
      <c r="BI668" s="29"/>
      <c r="BJ668" s="29"/>
      <c r="BK668" s="29"/>
      <c r="BL668" s="29"/>
      <c r="BM668" s="29"/>
      <c r="BN668" s="29"/>
      <c r="BO668" s="29"/>
      <c r="BP668" s="29"/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  <c r="CE668" s="29"/>
    </row>
    <row r="669"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  <c r="BC669" s="29"/>
      <c r="BD669" s="29"/>
      <c r="BE669" s="29"/>
      <c r="BF669" s="29"/>
      <c r="BG669" s="29"/>
      <c r="BH669" s="29"/>
      <c r="BI669" s="29"/>
      <c r="BJ669" s="29"/>
      <c r="BK669" s="29"/>
      <c r="BL669" s="29"/>
      <c r="BM669" s="29"/>
      <c r="BN669" s="29"/>
      <c r="BO669" s="29"/>
      <c r="BP669" s="29"/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  <c r="CE669" s="29"/>
    </row>
    <row r="670"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  <c r="BC670" s="29"/>
      <c r="BD670" s="29"/>
      <c r="BE670" s="29"/>
      <c r="BF670" s="29"/>
      <c r="BG670" s="29"/>
      <c r="BH670" s="29"/>
      <c r="BI670" s="29"/>
      <c r="BJ670" s="29"/>
      <c r="BK670" s="29"/>
      <c r="BL670" s="29"/>
      <c r="BM670" s="29"/>
      <c r="BN670" s="29"/>
      <c r="BO670" s="29"/>
      <c r="BP670" s="29"/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  <c r="CE670" s="29"/>
    </row>
    <row r="671"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  <c r="BC671" s="29"/>
      <c r="BD671" s="29"/>
      <c r="BE671" s="29"/>
      <c r="BF671" s="29"/>
      <c r="BG671" s="29"/>
      <c r="BH671" s="29"/>
      <c r="BI671" s="29"/>
      <c r="BJ671" s="29"/>
      <c r="BK671" s="29"/>
      <c r="BL671" s="29"/>
      <c r="BM671" s="29"/>
      <c r="BN671" s="29"/>
      <c r="BO671" s="29"/>
      <c r="BP671" s="29"/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  <c r="CE671" s="29"/>
    </row>
    <row r="672"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  <c r="BC672" s="29"/>
      <c r="BD672" s="29"/>
      <c r="BE672" s="29"/>
      <c r="BF672" s="29"/>
      <c r="BG672" s="29"/>
      <c r="BH672" s="29"/>
      <c r="BI672" s="29"/>
      <c r="BJ672" s="29"/>
      <c r="BK672" s="29"/>
      <c r="BL672" s="29"/>
      <c r="BM672" s="29"/>
      <c r="BN672" s="29"/>
      <c r="BO672" s="29"/>
      <c r="BP672" s="29"/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  <c r="CE672" s="29"/>
    </row>
    <row r="673"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  <c r="BC673" s="29"/>
      <c r="BD673" s="29"/>
      <c r="BE673" s="29"/>
      <c r="BF673" s="29"/>
      <c r="BG673" s="29"/>
      <c r="BH673" s="29"/>
      <c r="BI673" s="29"/>
      <c r="BJ673" s="29"/>
      <c r="BK673" s="29"/>
      <c r="BL673" s="29"/>
      <c r="BM673" s="29"/>
      <c r="BN673" s="29"/>
      <c r="BO673" s="29"/>
      <c r="BP673" s="29"/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  <c r="CE673" s="29"/>
    </row>
    <row r="674"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  <c r="BC674" s="29"/>
      <c r="BD674" s="29"/>
      <c r="BE674" s="29"/>
      <c r="BF674" s="29"/>
      <c r="BG674" s="29"/>
      <c r="BH674" s="29"/>
      <c r="BI674" s="29"/>
      <c r="BJ674" s="29"/>
      <c r="BK674" s="29"/>
      <c r="BL674" s="29"/>
      <c r="BM674" s="29"/>
      <c r="BN674" s="29"/>
      <c r="BO674" s="29"/>
      <c r="BP674" s="29"/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  <c r="CE674" s="29"/>
    </row>
    <row r="675"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  <c r="BC675" s="29"/>
      <c r="BD675" s="29"/>
      <c r="BE675" s="29"/>
      <c r="BF675" s="29"/>
      <c r="BG675" s="29"/>
      <c r="BH675" s="29"/>
      <c r="BI675" s="29"/>
      <c r="BJ675" s="29"/>
      <c r="BK675" s="29"/>
      <c r="BL675" s="29"/>
      <c r="BM675" s="29"/>
      <c r="BN675" s="29"/>
      <c r="BO675" s="29"/>
      <c r="BP675" s="29"/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  <c r="CE675" s="29"/>
    </row>
    <row r="676"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  <c r="BC676" s="29"/>
      <c r="BD676" s="29"/>
      <c r="BE676" s="29"/>
      <c r="BF676" s="29"/>
      <c r="BG676" s="29"/>
      <c r="BH676" s="29"/>
      <c r="BI676" s="29"/>
      <c r="BJ676" s="29"/>
      <c r="BK676" s="29"/>
      <c r="BL676" s="29"/>
      <c r="BM676" s="29"/>
      <c r="BN676" s="29"/>
      <c r="BO676" s="29"/>
      <c r="BP676" s="29"/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  <c r="CE676" s="29"/>
    </row>
    <row r="677"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  <c r="BC677" s="29"/>
      <c r="BD677" s="29"/>
      <c r="BE677" s="29"/>
      <c r="BF677" s="29"/>
      <c r="BG677" s="29"/>
      <c r="BH677" s="29"/>
      <c r="BI677" s="29"/>
      <c r="BJ677" s="29"/>
      <c r="BK677" s="29"/>
      <c r="BL677" s="29"/>
      <c r="BM677" s="29"/>
      <c r="BN677" s="29"/>
      <c r="BO677" s="29"/>
      <c r="BP677" s="29"/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  <c r="CE677" s="29"/>
    </row>
    <row r="678"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  <c r="BC678" s="29"/>
      <c r="BD678" s="29"/>
      <c r="BE678" s="29"/>
      <c r="BF678" s="29"/>
      <c r="BG678" s="29"/>
      <c r="BH678" s="29"/>
      <c r="BI678" s="29"/>
      <c r="BJ678" s="29"/>
      <c r="BK678" s="29"/>
      <c r="BL678" s="29"/>
      <c r="BM678" s="29"/>
      <c r="BN678" s="29"/>
      <c r="BO678" s="29"/>
      <c r="BP678" s="29"/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  <c r="CE678" s="29"/>
    </row>
    <row r="679"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  <c r="BC679" s="29"/>
      <c r="BD679" s="29"/>
      <c r="BE679" s="29"/>
      <c r="BF679" s="29"/>
      <c r="BG679" s="29"/>
      <c r="BH679" s="29"/>
      <c r="BI679" s="29"/>
      <c r="BJ679" s="29"/>
      <c r="BK679" s="29"/>
      <c r="BL679" s="29"/>
      <c r="BM679" s="29"/>
      <c r="BN679" s="29"/>
      <c r="BO679" s="29"/>
      <c r="BP679" s="29"/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  <c r="CE679" s="29"/>
    </row>
    <row r="680"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  <c r="BC680" s="29"/>
      <c r="BD680" s="29"/>
      <c r="BE680" s="29"/>
      <c r="BF680" s="29"/>
      <c r="BG680" s="29"/>
      <c r="BH680" s="29"/>
      <c r="BI680" s="29"/>
      <c r="BJ680" s="29"/>
      <c r="BK680" s="29"/>
      <c r="BL680" s="29"/>
      <c r="BM680" s="29"/>
      <c r="BN680" s="29"/>
      <c r="BO680" s="29"/>
      <c r="BP680" s="29"/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  <c r="CE680" s="29"/>
    </row>
    <row r="681"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  <c r="BC681" s="29"/>
      <c r="BD681" s="29"/>
      <c r="BE681" s="29"/>
      <c r="BF681" s="29"/>
      <c r="BG681" s="29"/>
      <c r="BH681" s="29"/>
      <c r="BI681" s="29"/>
      <c r="BJ681" s="29"/>
      <c r="BK681" s="29"/>
      <c r="BL681" s="29"/>
      <c r="BM681" s="29"/>
      <c r="BN681" s="29"/>
      <c r="BO681" s="29"/>
      <c r="BP681" s="29"/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  <c r="CE681" s="29"/>
    </row>
    <row r="682"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  <c r="BC682" s="29"/>
      <c r="BD682" s="29"/>
      <c r="BE682" s="29"/>
      <c r="BF682" s="29"/>
      <c r="BG682" s="29"/>
      <c r="BH682" s="29"/>
      <c r="BI682" s="29"/>
      <c r="BJ682" s="29"/>
      <c r="BK682" s="29"/>
      <c r="BL682" s="29"/>
      <c r="BM682" s="29"/>
      <c r="BN682" s="29"/>
      <c r="BO682" s="29"/>
      <c r="BP682" s="29"/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  <c r="CE682" s="29"/>
    </row>
    <row r="683"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  <c r="BC683" s="29"/>
      <c r="BD683" s="29"/>
      <c r="BE683" s="29"/>
      <c r="BF683" s="29"/>
      <c r="BG683" s="29"/>
      <c r="BH683" s="29"/>
      <c r="BI683" s="29"/>
      <c r="BJ683" s="29"/>
      <c r="BK683" s="29"/>
      <c r="BL683" s="29"/>
      <c r="BM683" s="29"/>
      <c r="BN683" s="29"/>
      <c r="BO683" s="29"/>
      <c r="BP683" s="29"/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  <c r="CE683" s="29"/>
    </row>
    <row r="684"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  <c r="BC684" s="29"/>
      <c r="BD684" s="29"/>
      <c r="BE684" s="29"/>
      <c r="BF684" s="29"/>
      <c r="BG684" s="29"/>
      <c r="BH684" s="29"/>
      <c r="BI684" s="29"/>
      <c r="BJ684" s="29"/>
      <c r="BK684" s="29"/>
      <c r="BL684" s="29"/>
      <c r="BM684" s="29"/>
      <c r="BN684" s="29"/>
      <c r="BO684" s="29"/>
      <c r="BP684" s="29"/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  <c r="CE684" s="29"/>
    </row>
    <row r="685"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  <c r="BC685" s="29"/>
      <c r="BD685" s="29"/>
      <c r="BE685" s="29"/>
      <c r="BF685" s="29"/>
      <c r="BG685" s="29"/>
      <c r="BH685" s="29"/>
      <c r="BI685" s="29"/>
      <c r="BJ685" s="29"/>
      <c r="BK685" s="29"/>
      <c r="BL685" s="29"/>
      <c r="BM685" s="29"/>
      <c r="BN685" s="29"/>
      <c r="BO685" s="29"/>
      <c r="BP685" s="29"/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  <c r="CE685" s="29"/>
    </row>
    <row r="686"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  <c r="BE686" s="29"/>
      <c r="BF686" s="29"/>
      <c r="BG686" s="29"/>
      <c r="BH686" s="29"/>
      <c r="BI686" s="29"/>
      <c r="BJ686" s="29"/>
      <c r="BK686" s="29"/>
      <c r="BL686" s="29"/>
      <c r="BM686" s="29"/>
      <c r="BN686" s="29"/>
      <c r="BO686" s="29"/>
      <c r="BP686" s="29"/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  <c r="CE686" s="29"/>
    </row>
    <row r="687"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  <c r="BC687" s="29"/>
      <c r="BD687" s="29"/>
      <c r="BE687" s="29"/>
      <c r="BF687" s="29"/>
      <c r="BG687" s="29"/>
      <c r="BH687" s="29"/>
      <c r="BI687" s="29"/>
      <c r="BJ687" s="29"/>
      <c r="BK687" s="29"/>
      <c r="BL687" s="29"/>
      <c r="BM687" s="29"/>
      <c r="BN687" s="29"/>
      <c r="BO687" s="29"/>
      <c r="BP687" s="29"/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  <c r="CE687" s="29"/>
    </row>
    <row r="688"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  <c r="BC688" s="29"/>
      <c r="BD688" s="29"/>
      <c r="BE688" s="29"/>
      <c r="BF688" s="29"/>
      <c r="BG688" s="29"/>
      <c r="BH688" s="29"/>
      <c r="BI688" s="29"/>
      <c r="BJ688" s="29"/>
      <c r="BK688" s="29"/>
      <c r="BL688" s="29"/>
      <c r="BM688" s="29"/>
      <c r="BN688" s="29"/>
      <c r="BO688" s="29"/>
      <c r="BP688" s="29"/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  <c r="CE688" s="29"/>
    </row>
    <row r="689"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  <c r="BC689" s="29"/>
      <c r="BD689" s="29"/>
      <c r="BE689" s="29"/>
      <c r="BF689" s="29"/>
      <c r="BG689" s="29"/>
      <c r="BH689" s="29"/>
      <c r="BI689" s="29"/>
      <c r="BJ689" s="29"/>
      <c r="BK689" s="29"/>
      <c r="BL689" s="29"/>
      <c r="BM689" s="29"/>
      <c r="BN689" s="29"/>
      <c r="BO689" s="29"/>
      <c r="BP689" s="29"/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  <c r="CE689" s="29"/>
    </row>
    <row r="690"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  <c r="BC690" s="29"/>
      <c r="BD690" s="29"/>
      <c r="BE690" s="29"/>
      <c r="BF690" s="29"/>
      <c r="BG690" s="29"/>
      <c r="BH690" s="29"/>
      <c r="BI690" s="29"/>
      <c r="BJ690" s="29"/>
      <c r="BK690" s="29"/>
      <c r="BL690" s="29"/>
      <c r="BM690" s="29"/>
      <c r="BN690" s="29"/>
      <c r="BO690" s="29"/>
      <c r="BP690" s="29"/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  <c r="CE690" s="29"/>
    </row>
    <row r="691"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  <c r="BC691" s="29"/>
      <c r="BD691" s="29"/>
      <c r="BE691" s="29"/>
      <c r="BF691" s="29"/>
      <c r="BG691" s="29"/>
      <c r="BH691" s="29"/>
      <c r="BI691" s="29"/>
      <c r="BJ691" s="29"/>
      <c r="BK691" s="29"/>
      <c r="BL691" s="29"/>
      <c r="BM691" s="29"/>
      <c r="BN691" s="29"/>
      <c r="BO691" s="29"/>
      <c r="BP691" s="29"/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  <c r="CE691" s="29"/>
    </row>
    <row r="692"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  <c r="BC692" s="29"/>
      <c r="BD692" s="29"/>
      <c r="BE692" s="29"/>
      <c r="BF692" s="29"/>
      <c r="BG692" s="29"/>
      <c r="BH692" s="29"/>
      <c r="BI692" s="29"/>
      <c r="BJ692" s="29"/>
      <c r="BK692" s="29"/>
      <c r="BL692" s="29"/>
      <c r="BM692" s="29"/>
      <c r="BN692" s="29"/>
      <c r="BO692" s="29"/>
      <c r="BP692" s="29"/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  <c r="CE692" s="29"/>
    </row>
    <row r="693"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  <c r="BC693" s="29"/>
      <c r="BD693" s="29"/>
      <c r="BE693" s="29"/>
      <c r="BF693" s="29"/>
      <c r="BG693" s="29"/>
      <c r="BH693" s="29"/>
      <c r="BI693" s="29"/>
      <c r="BJ693" s="29"/>
      <c r="BK693" s="29"/>
      <c r="BL693" s="29"/>
      <c r="BM693" s="29"/>
      <c r="BN693" s="29"/>
      <c r="BO693" s="29"/>
      <c r="BP693" s="29"/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  <c r="CE693" s="29"/>
    </row>
    <row r="694"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  <c r="BC694" s="29"/>
      <c r="BD694" s="29"/>
      <c r="BE694" s="29"/>
      <c r="BF694" s="29"/>
      <c r="BG694" s="29"/>
      <c r="BH694" s="29"/>
      <c r="BI694" s="29"/>
      <c r="BJ694" s="29"/>
      <c r="BK694" s="29"/>
      <c r="BL694" s="29"/>
      <c r="BM694" s="29"/>
      <c r="BN694" s="29"/>
      <c r="BO694" s="29"/>
      <c r="BP694" s="29"/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  <c r="CE694" s="29"/>
    </row>
    <row r="695"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  <c r="BC695" s="29"/>
      <c r="BD695" s="29"/>
      <c r="BE695" s="29"/>
      <c r="BF695" s="29"/>
      <c r="BG695" s="29"/>
      <c r="BH695" s="29"/>
      <c r="BI695" s="29"/>
      <c r="BJ695" s="29"/>
      <c r="BK695" s="29"/>
      <c r="BL695" s="29"/>
      <c r="BM695" s="29"/>
      <c r="BN695" s="29"/>
      <c r="BO695" s="29"/>
      <c r="BP695" s="29"/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  <c r="CE695" s="29"/>
    </row>
    <row r="696"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  <c r="BC696" s="29"/>
      <c r="BD696" s="29"/>
      <c r="BE696" s="29"/>
      <c r="BF696" s="29"/>
      <c r="BG696" s="29"/>
      <c r="BH696" s="29"/>
      <c r="BI696" s="29"/>
      <c r="BJ696" s="29"/>
      <c r="BK696" s="29"/>
      <c r="BL696" s="29"/>
      <c r="BM696" s="29"/>
      <c r="BN696" s="29"/>
      <c r="BO696" s="29"/>
      <c r="BP696" s="29"/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  <c r="CE696" s="29"/>
    </row>
    <row r="697"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  <c r="BC697" s="29"/>
      <c r="BD697" s="29"/>
      <c r="BE697" s="29"/>
      <c r="BF697" s="29"/>
      <c r="BG697" s="29"/>
      <c r="BH697" s="29"/>
      <c r="BI697" s="29"/>
      <c r="BJ697" s="29"/>
      <c r="BK697" s="29"/>
      <c r="BL697" s="29"/>
      <c r="BM697" s="29"/>
      <c r="BN697" s="29"/>
      <c r="BO697" s="29"/>
      <c r="BP697" s="29"/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  <c r="CE697" s="29"/>
    </row>
    <row r="698"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  <c r="BC698" s="29"/>
      <c r="BD698" s="29"/>
      <c r="BE698" s="29"/>
      <c r="BF698" s="29"/>
      <c r="BG698" s="29"/>
      <c r="BH698" s="29"/>
      <c r="BI698" s="29"/>
      <c r="BJ698" s="29"/>
      <c r="BK698" s="29"/>
      <c r="BL698" s="29"/>
      <c r="BM698" s="29"/>
      <c r="BN698" s="29"/>
      <c r="BO698" s="29"/>
      <c r="BP698" s="29"/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  <c r="CE698" s="29"/>
    </row>
    <row r="699"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  <c r="BC699" s="29"/>
      <c r="BD699" s="29"/>
      <c r="BE699" s="29"/>
      <c r="BF699" s="29"/>
      <c r="BG699" s="29"/>
      <c r="BH699" s="29"/>
      <c r="BI699" s="29"/>
      <c r="BJ699" s="29"/>
      <c r="BK699" s="29"/>
      <c r="BL699" s="29"/>
      <c r="BM699" s="29"/>
      <c r="BN699" s="29"/>
      <c r="BO699" s="29"/>
      <c r="BP699" s="29"/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  <c r="CE699" s="29"/>
    </row>
    <row r="700"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  <c r="BC700" s="29"/>
      <c r="BD700" s="29"/>
      <c r="BE700" s="29"/>
      <c r="BF700" s="29"/>
      <c r="BG700" s="29"/>
      <c r="BH700" s="29"/>
      <c r="BI700" s="29"/>
      <c r="BJ700" s="29"/>
      <c r="BK700" s="29"/>
      <c r="BL700" s="29"/>
      <c r="BM700" s="29"/>
      <c r="BN700" s="29"/>
      <c r="BO700" s="29"/>
      <c r="BP700" s="29"/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  <c r="CE700" s="29"/>
    </row>
    <row r="701"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  <c r="BC701" s="29"/>
      <c r="BD701" s="29"/>
      <c r="BE701" s="29"/>
      <c r="BF701" s="29"/>
      <c r="BG701" s="29"/>
      <c r="BH701" s="29"/>
      <c r="BI701" s="29"/>
      <c r="BJ701" s="29"/>
      <c r="BK701" s="29"/>
      <c r="BL701" s="29"/>
      <c r="BM701" s="29"/>
      <c r="BN701" s="29"/>
      <c r="BO701" s="29"/>
      <c r="BP701" s="29"/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  <c r="CE701" s="29"/>
    </row>
    <row r="702"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  <c r="BC702" s="29"/>
      <c r="BD702" s="29"/>
      <c r="BE702" s="29"/>
      <c r="BF702" s="29"/>
      <c r="BG702" s="29"/>
      <c r="BH702" s="29"/>
      <c r="BI702" s="29"/>
      <c r="BJ702" s="29"/>
      <c r="BK702" s="29"/>
      <c r="BL702" s="29"/>
      <c r="BM702" s="29"/>
      <c r="BN702" s="29"/>
      <c r="BO702" s="29"/>
      <c r="BP702" s="29"/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  <c r="CE702" s="29"/>
    </row>
    <row r="703"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  <c r="BC703" s="29"/>
      <c r="BD703" s="29"/>
      <c r="BE703" s="29"/>
      <c r="BF703" s="29"/>
      <c r="BG703" s="29"/>
      <c r="BH703" s="29"/>
      <c r="BI703" s="29"/>
      <c r="BJ703" s="29"/>
      <c r="BK703" s="29"/>
      <c r="BL703" s="29"/>
      <c r="BM703" s="29"/>
      <c r="BN703" s="29"/>
      <c r="BO703" s="29"/>
      <c r="BP703" s="29"/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  <c r="CE703" s="29"/>
    </row>
    <row r="704"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  <c r="BC704" s="29"/>
      <c r="BD704" s="29"/>
      <c r="BE704" s="29"/>
      <c r="BF704" s="29"/>
      <c r="BG704" s="29"/>
      <c r="BH704" s="29"/>
      <c r="BI704" s="29"/>
      <c r="BJ704" s="29"/>
      <c r="BK704" s="29"/>
      <c r="BL704" s="29"/>
      <c r="BM704" s="29"/>
      <c r="BN704" s="29"/>
      <c r="BO704" s="29"/>
      <c r="BP704" s="29"/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  <c r="CE704" s="29"/>
    </row>
    <row r="705"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  <c r="BC705" s="29"/>
      <c r="BD705" s="29"/>
      <c r="BE705" s="29"/>
      <c r="BF705" s="29"/>
      <c r="BG705" s="29"/>
      <c r="BH705" s="29"/>
      <c r="BI705" s="29"/>
      <c r="BJ705" s="29"/>
      <c r="BK705" s="29"/>
      <c r="BL705" s="29"/>
      <c r="BM705" s="29"/>
      <c r="BN705" s="29"/>
      <c r="BO705" s="29"/>
      <c r="BP705" s="29"/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  <c r="CE705" s="29"/>
    </row>
    <row r="706"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  <c r="BC706" s="29"/>
      <c r="BD706" s="29"/>
      <c r="BE706" s="29"/>
      <c r="BF706" s="29"/>
      <c r="BG706" s="29"/>
      <c r="BH706" s="29"/>
      <c r="BI706" s="29"/>
      <c r="BJ706" s="29"/>
      <c r="BK706" s="29"/>
      <c r="BL706" s="29"/>
      <c r="BM706" s="29"/>
      <c r="BN706" s="29"/>
      <c r="BO706" s="29"/>
      <c r="BP706" s="29"/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  <c r="CE706" s="29"/>
    </row>
    <row r="707"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  <c r="BC707" s="29"/>
      <c r="BD707" s="29"/>
      <c r="BE707" s="29"/>
      <c r="BF707" s="29"/>
      <c r="BG707" s="29"/>
      <c r="BH707" s="29"/>
      <c r="BI707" s="29"/>
      <c r="BJ707" s="29"/>
      <c r="BK707" s="29"/>
      <c r="BL707" s="29"/>
      <c r="BM707" s="29"/>
      <c r="BN707" s="29"/>
      <c r="BO707" s="29"/>
      <c r="BP707" s="29"/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  <c r="CE707" s="29"/>
    </row>
    <row r="708"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  <c r="BC708" s="29"/>
      <c r="BD708" s="29"/>
      <c r="BE708" s="29"/>
      <c r="BF708" s="29"/>
      <c r="BG708" s="29"/>
      <c r="BH708" s="29"/>
      <c r="BI708" s="29"/>
      <c r="BJ708" s="29"/>
      <c r="BK708" s="29"/>
      <c r="BL708" s="29"/>
      <c r="BM708" s="29"/>
      <c r="BN708" s="29"/>
      <c r="BO708" s="29"/>
      <c r="BP708" s="29"/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  <c r="CE708" s="29"/>
    </row>
    <row r="709"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  <c r="BC709" s="29"/>
      <c r="BD709" s="29"/>
      <c r="BE709" s="29"/>
      <c r="BF709" s="29"/>
      <c r="BG709" s="29"/>
      <c r="BH709" s="29"/>
      <c r="BI709" s="29"/>
      <c r="BJ709" s="29"/>
      <c r="BK709" s="29"/>
      <c r="BL709" s="29"/>
      <c r="BM709" s="29"/>
      <c r="BN709" s="29"/>
      <c r="BO709" s="29"/>
      <c r="BP709" s="29"/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  <c r="CE709" s="29"/>
    </row>
    <row r="710"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  <c r="BC710" s="29"/>
      <c r="BD710" s="29"/>
      <c r="BE710" s="29"/>
      <c r="BF710" s="29"/>
      <c r="BG710" s="29"/>
      <c r="BH710" s="29"/>
      <c r="BI710" s="29"/>
      <c r="BJ710" s="29"/>
      <c r="BK710" s="29"/>
      <c r="BL710" s="29"/>
      <c r="BM710" s="29"/>
      <c r="BN710" s="29"/>
      <c r="BO710" s="29"/>
      <c r="BP710" s="29"/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  <c r="CE710" s="29"/>
    </row>
    <row r="711"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  <c r="BC711" s="29"/>
      <c r="BD711" s="29"/>
      <c r="BE711" s="29"/>
      <c r="BF711" s="29"/>
      <c r="BG711" s="29"/>
      <c r="BH711" s="29"/>
      <c r="BI711" s="29"/>
      <c r="BJ711" s="29"/>
      <c r="BK711" s="29"/>
      <c r="BL711" s="29"/>
      <c r="BM711" s="29"/>
      <c r="BN711" s="29"/>
      <c r="BO711" s="29"/>
      <c r="BP711" s="29"/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  <c r="CE711" s="29"/>
    </row>
    <row r="712"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  <c r="BC712" s="29"/>
      <c r="BD712" s="29"/>
      <c r="BE712" s="29"/>
      <c r="BF712" s="29"/>
      <c r="BG712" s="29"/>
      <c r="BH712" s="29"/>
      <c r="BI712" s="29"/>
      <c r="BJ712" s="29"/>
      <c r="BK712" s="29"/>
      <c r="BL712" s="29"/>
      <c r="BM712" s="29"/>
      <c r="BN712" s="29"/>
      <c r="BO712" s="29"/>
      <c r="BP712" s="29"/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  <c r="CE712" s="29"/>
    </row>
    <row r="713"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  <c r="BC713" s="29"/>
      <c r="BD713" s="29"/>
      <c r="BE713" s="29"/>
      <c r="BF713" s="29"/>
      <c r="BG713" s="29"/>
      <c r="BH713" s="29"/>
      <c r="BI713" s="29"/>
      <c r="BJ713" s="29"/>
      <c r="BK713" s="29"/>
      <c r="BL713" s="29"/>
      <c r="BM713" s="29"/>
      <c r="BN713" s="29"/>
      <c r="BO713" s="29"/>
      <c r="BP713" s="29"/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  <c r="CE713" s="29"/>
    </row>
    <row r="714"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  <c r="BC714" s="29"/>
      <c r="BD714" s="29"/>
      <c r="BE714" s="29"/>
      <c r="BF714" s="29"/>
      <c r="BG714" s="29"/>
      <c r="BH714" s="29"/>
      <c r="BI714" s="29"/>
      <c r="BJ714" s="29"/>
      <c r="BK714" s="29"/>
      <c r="BL714" s="29"/>
      <c r="BM714" s="29"/>
      <c r="BN714" s="29"/>
      <c r="BO714" s="29"/>
      <c r="BP714" s="29"/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  <c r="CE714" s="29"/>
    </row>
    <row r="715"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  <c r="BC715" s="29"/>
      <c r="BD715" s="29"/>
      <c r="BE715" s="29"/>
      <c r="BF715" s="29"/>
      <c r="BG715" s="29"/>
      <c r="BH715" s="29"/>
      <c r="BI715" s="29"/>
      <c r="BJ715" s="29"/>
      <c r="BK715" s="29"/>
      <c r="BL715" s="29"/>
      <c r="BM715" s="29"/>
      <c r="BN715" s="29"/>
      <c r="BO715" s="29"/>
      <c r="BP715" s="29"/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  <c r="CE715" s="29"/>
    </row>
    <row r="716"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  <c r="BC716" s="29"/>
      <c r="BD716" s="29"/>
      <c r="BE716" s="29"/>
      <c r="BF716" s="29"/>
      <c r="BG716" s="29"/>
      <c r="BH716" s="29"/>
      <c r="BI716" s="29"/>
      <c r="BJ716" s="29"/>
      <c r="BK716" s="29"/>
      <c r="BL716" s="29"/>
      <c r="BM716" s="29"/>
      <c r="BN716" s="29"/>
      <c r="BO716" s="29"/>
      <c r="BP716" s="29"/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  <c r="CE716" s="29"/>
    </row>
    <row r="717"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29"/>
      <c r="BF717" s="29"/>
      <c r="BG717" s="29"/>
      <c r="BH717" s="29"/>
      <c r="BI717" s="29"/>
      <c r="BJ717" s="29"/>
      <c r="BK717" s="29"/>
      <c r="BL717" s="29"/>
      <c r="BM717" s="29"/>
      <c r="BN717" s="29"/>
      <c r="BO717" s="29"/>
      <c r="BP717" s="29"/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  <c r="CE717" s="29"/>
    </row>
    <row r="718"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  <c r="BC718" s="29"/>
      <c r="BD718" s="29"/>
      <c r="BE718" s="29"/>
      <c r="BF718" s="29"/>
      <c r="BG718" s="29"/>
      <c r="BH718" s="29"/>
      <c r="BI718" s="29"/>
      <c r="BJ718" s="29"/>
      <c r="BK718" s="29"/>
      <c r="BL718" s="29"/>
      <c r="BM718" s="29"/>
      <c r="BN718" s="29"/>
      <c r="BO718" s="29"/>
      <c r="BP718" s="29"/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  <c r="CE718" s="29"/>
    </row>
    <row r="719"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  <c r="BC719" s="29"/>
      <c r="BD719" s="29"/>
      <c r="BE719" s="29"/>
      <c r="BF719" s="29"/>
      <c r="BG719" s="29"/>
      <c r="BH719" s="29"/>
      <c r="BI719" s="29"/>
      <c r="BJ719" s="29"/>
      <c r="BK719" s="29"/>
      <c r="BL719" s="29"/>
      <c r="BM719" s="29"/>
      <c r="BN719" s="29"/>
      <c r="BO719" s="29"/>
      <c r="BP719" s="29"/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  <c r="CE719" s="29"/>
    </row>
    <row r="720"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  <c r="BC720" s="29"/>
      <c r="BD720" s="29"/>
      <c r="BE720" s="29"/>
      <c r="BF720" s="29"/>
      <c r="BG720" s="29"/>
      <c r="BH720" s="29"/>
      <c r="BI720" s="29"/>
      <c r="BJ720" s="29"/>
      <c r="BK720" s="29"/>
      <c r="BL720" s="29"/>
      <c r="BM720" s="29"/>
      <c r="BN720" s="29"/>
      <c r="BO720" s="29"/>
      <c r="BP720" s="29"/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  <c r="CE720" s="29"/>
    </row>
    <row r="721"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  <c r="BC721" s="29"/>
      <c r="BD721" s="29"/>
      <c r="BE721" s="29"/>
      <c r="BF721" s="29"/>
      <c r="BG721" s="29"/>
      <c r="BH721" s="29"/>
      <c r="BI721" s="29"/>
      <c r="BJ721" s="29"/>
      <c r="BK721" s="29"/>
      <c r="BL721" s="29"/>
      <c r="BM721" s="29"/>
      <c r="BN721" s="29"/>
      <c r="BO721" s="29"/>
      <c r="BP721" s="29"/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  <c r="CE721" s="29"/>
    </row>
    <row r="722"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  <c r="BC722" s="29"/>
      <c r="BD722" s="29"/>
      <c r="BE722" s="29"/>
      <c r="BF722" s="29"/>
      <c r="BG722" s="29"/>
      <c r="BH722" s="29"/>
      <c r="BI722" s="29"/>
      <c r="BJ722" s="29"/>
      <c r="BK722" s="29"/>
      <c r="BL722" s="29"/>
      <c r="BM722" s="29"/>
      <c r="BN722" s="29"/>
      <c r="BO722" s="29"/>
      <c r="BP722" s="29"/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  <c r="CE722" s="29"/>
    </row>
    <row r="723"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  <c r="BC723" s="29"/>
      <c r="BD723" s="29"/>
      <c r="BE723" s="29"/>
      <c r="BF723" s="29"/>
      <c r="BG723" s="29"/>
      <c r="BH723" s="29"/>
      <c r="BI723" s="29"/>
      <c r="BJ723" s="29"/>
      <c r="BK723" s="29"/>
      <c r="BL723" s="29"/>
      <c r="BM723" s="29"/>
      <c r="BN723" s="29"/>
      <c r="BO723" s="29"/>
      <c r="BP723" s="29"/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  <c r="CE723" s="29"/>
    </row>
    <row r="724"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  <c r="BC724" s="29"/>
      <c r="BD724" s="29"/>
      <c r="BE724" s="29"/>
      <c r="BF724" s="29"/>
      <c r="BG724" s="29"/>
      <c r="BH724" s="29"/>
      <c r="BI724" s="29"/>
      <c r="BJ724" s="29"/>
      <c r="BK724" s="29"/>
      <c r="BL724" s="29"/>
      <c r="BM724" s="29"/>
      <c r="BN724" s="29"/>
      <c r="BO724" s="29"/>
      <c r="BP724" s="29"/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  <c r="CE724" s="29"/>
    </row>
    <row r="725"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  <c r="BC725" s="29"/>
      <c r="BD725" s="29"/>
      <c r="BE725" s="29"/>
      <c r="BF725" s="29"/>
      <c r="BG725" s="29"/>
      <c r="BH725" s="29"/>
      <c r="BI725" s="29"/>
      <c r="BJ725" s="29"/>
      <c r="BK725" s="29"/>
      <c r="BL725" s="29"/>
      <c r="BM725" s="29"/>
      <c r="BN725" s="29"/>
      <c r="BO725" s="29"/>
      <c r="BP725" s="29"/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  <c r="CE725" s="29"/>
    </row>
    <row r="726"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  <c r="BC726" s="29"/>
      <c r="BD726" s="29"/>
      <c r="BE726" s="29"/>
      <c r="BF726" s="29"/>
      <c r="BG726" s="29"/>
      <c r="BH726" s="29"/>
      <c r="BI726" s="29"/>
      <c r="BJ726" s="29"/>
      <c r="BK726" s="29"/>
      <c r="BL726" s="29"/>
      <c r="BM726" s="29"/>
      <c r="BN726" s="29"/>
      <c r="BO726" s="29"/>
      <c r="BP726" s="29"/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  <c r="CE726" s="29"/>
    </row>
    <row r="727"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  <c r="BC727" s="29"/>
      <c r="BD727" s="29"/>
      <c r="BE727" s="29"/>
      <c r="BF727" s="29"/>
      <c r="BG727" s="29"/>
      <c r="BH727" s="29"/>
      <c r="BI727" s="29"/>
      <c r="BJ727" s="29"/>
      <c r="BK727" s="29"/>
      <c r="BL727" s="29"/>
      <c r="BM727" s="29"/>
      <c r="BN727" s="29"/>
      <c r="BO727" s="29"/>
      <c r="BP727" s="29"/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  <c r="CE727" s="29"/>
    </row>
    <row r="728"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  <c r="BC728" s="29"/>
      <c r="BD728" s="29"/>
      <c r="BE728" s="29"/>
      <c r="BF728" s="29"/>
      <c r="BG728" s="29"/>
      <c r="BH728" s="29"/>
      <c r="BI728" s="29"/>
      <c r="BJ728" s="29"/>
      <c r="BK728" s="29"/>
      <c r="BL728" s="29"/>
      <c r="BM728" s="29"/>
      <c r="BN728" s="29"/>
      <c r="BO728" s="29"/>
      <c r="BP728" s="29"/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  <c r="CE728" s="29"/>
    </row>
    <row r="729"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  <c r="BC729" s="29"/>
      <c r="BD729" s="29"/>
      <c r="BE729" s="29"/>
      <c r="BF729" s="29"/>
      <c r="BG729" s="29"/>
      <c r="BH729" s="29"/>
      <c r="BI729" s="29"/>
      <c r="BJ729" s="29"/>
      <c r="BK729" s="29"/>
      <c r="BL729" s="29"/>
      <c r="BM729" s="29"/>
      <c r="BN729" s="29"/>
      <c r="BO729" s="29"/>
      <c r="BP729" s="29"/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  <c r="CE729" s="29"/>
    </row>
    <row r="730"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  <c r="BC730" s="29"/>
      <c r="BD730" s="29"/>
      <c r="BE730" s="29"/>
      <c r="BF730" s="29"/>
      <c r="BG730" s="29"/>
      <c r="BH730" s="29"/>
      <c r="BI730" s="29"/>
      <c r="BJ730" s="29"/>
      <c r="BK730" s="29"/>
      <c r="BL730" s="29"/>
      <c r="BM730" s="29"/>
      <c r="BN730" s="29"/>
      <c r="BO730" s="29"/>
      <c r="BP730" s="29"/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  <c r="CE730" s="29"/>
    </row>
    <row r="731"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  <c r="BC731" s="29"/>
      <c r="BD731" s="29"/>
      <c r="BE731" s="29"/>
      <c r="BF731" s="29"/>
      <c r="BG731" s="29"/>
      <c r="BH731" s="29"/>
      <c r="BI731" s="29"/>
      <c r="BJ731" s="29"/>
      <c r="BK731" s="29"/>
      <c r="BL731" s="29"/>
      <c r="BM731" s="29"/>
      <c r="BN731" s="29"/>
      <c r="BO731" s="29"/>
      <c r="BP731" s="29"/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  <c r="CE731" s="29"/>
    </row>
    <row r="732"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  <c r="BC732" s="29"/>
      <c r="BD732" s="29"/>
      <c r="BE732" s="29"/>
      <c r="BF732" s="29"/>
      <c r="BG732" s="29"/>
      <c r="BH732" s="29"/>
      <c r="BI732" s="29"/>
      <c r="BJ732" s="29"/>
      <c r="BK732" s="29"/>
      <c r="BL732" s="29"/>
      <c r="BM732" s="29"/>
      <c r="BN732" s="29"/>
      <c r="BO732" s="29"/>
      <c r="BP732" s="29"/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  <c r="CE732" s="29"/>
    </row>
    <row r="733"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  <c r="BC733" s="29"/>
      <c r="BD733" s="29"/>
      <c r="BE733" s="29"/>
      <c r="BF733" s="29"/>
      <c r="BG733" s="29"/>
      <c r="BH733" s="29"/>
      <c r="BI733" s="29"/>
      <c r="BJ733" s="29"/>
      <c r="BK733" s="29"/>
      <c r="BL733" s="29"/>
      <c r="BM733" s="29"/>
      <c r="BN733" s="29"/>
      <c r="BO733" s="29"/>
      <c r="BP733" s="29"/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  <c r="CE733" s="29"/>
    </row>
    <row r="734"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  <c r="BC734" s="29"/>
      <c r="BD734" s="29"/>
      <c r="BE734" s="29"/>
      <c r="BF734" s="29"/>
      <c r="BG734" s="29"/>
      <c r="BH734" s="29"/>
      <c r="BI734" s="29"/>
      <c r="BJ734" s="29"/>
      <c r="BK734" s="29"/>
      <c r="BL734" s="29"/>
      <c r="BM734" s="29"/>
      <c r="BN734" s="29"/>
      <c r="BO734" s="29"/>
      <c r="BP734" s="29"/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  <c r="CE734" s="29"/>
    </row>
    <row r="735"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29"/>
      <c r="BF735" s="29"/>
      <c r="BG735" s="29"/>
      <c r="BH735" s="29"/>
      <c r="BI735" s="29"/>
      <c r="BJ735" s="29"/>
      <c r="BK735" s="29"/>
      <c r="BL735" s="29"/>
      <c r="BM735" s="29"/>
      <c r="BN735" s="29"/>
      <c r="BO735" s="29"/>
      <c r="BP735" s="29"/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  <c r="CE735" s="29"/>
    </row>
    <row r="736"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  <c r="BC736" s="29"/>
      <c r="BD736" s="29"/>
      <c r="BE736" s="29"/>
      <c r="BF736" s="29"/>
      <c r="BG736" s="29"/>
      <c r="BH736" s="29"/>
      <c r="BI736" s="29"/>
      <c r="BJ736" s="29"/>
      <c r="BK736" s="29"/>
      <c r="BL736" s="29"/>
      <c r="BM736" s="29"/>
      <c r="BN736" s="29"/>
      <c r="BO736" s="29"/>
      <c r="BP736" s="29"/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  <c r="CE736" s="29"/>
    </row>
    <row r="737"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  <c r="BC737" s="29"/>
      <c r="BD737" s="29"/>
      <c r="BE737" s="29"/>
      <c r="BF737" s="29"/>
      <c r="BG737" s="29"/>
      <c r="BH737" s="29"/>
      <c r="BI737" s="29"/>
      <c r="BJ737" s="29"/>
      <c r="BK737" s="29"/>
      <c r="BL737" s="29"/>
      <c r="BM737" s="29"/>
      <c r="BN737" s="29"/>
      <c r="BO737" s="29"/>
      <c r="BP737" s="29"/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  <c r="CE737" s="29"/>
    </row>
    <row r="738"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  <c r="BC738" s="29"/>
      <c r="BD738" s="29"/>
      <c r="BE738" s="29"/>
      <c r="BF738" s="29"/>
      <c r="BG738" s="29"/>
      <c r="BH738" s="29"/>
      <c r="BI738" s="29"/>
      <c r="BJ738" s="29"/>
      <c r="BK738" s="29"/>
      <c r="BL738" s="29"/>
      <c r="BM738" s="29"/>
      <c r="BN738" s="29"/>
      <c r="BO738" s="29"/>
      <c r="BP738" s="29"/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  <c r="CE738" s="29"/>
    </row>
    <row r="739"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  <c r="BC739" s="29"/>
      <c r="BD739" s="29"/>
      <c r="BE739" s="29"/>
      <c r="BF739" s="29"/>
      <c r="BG739" s="29"/>
      <c r="BH739" s="29"/>
      <c r="BI739" s="29"/>
      <c r="BJ739" s="29"/>
      <c r="BK739" s="29"/>
      <c r="BL739" s="29"/>
      <c r="BM739" s="29"/>
      <c r="BN739" s="29"/>
      <c r="BO739" s="29"/>
      <c r="BP739" s="29"/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  <c r="CE739" s="29"/>
    </row>
    <row r="740"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  <c r="BC740" s="29"/>
      <c r="BD740" s="29"/>
      <c r="BE740" s="29"/>
      <c r="BF740" s="29"/>
      <c r="BG740" s="29"/>
      <c r="BH740" s="29"/>
      <c r="BI740" s="29"/>
      <c r="BJ740" s="29"/>
      <c r="BK740" s="29"/>
      <c r="BL740" s="29"/>
      <c r="BM740" s="29"/>
      <c r="BN740" s="29"/>
      <c r="BO740" s="29"/>
      <c r="BP740" s="29"/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  <c r="CE740" s="29"/>
    </row>
    <row r="741"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  <c r="BC741" s="29"/>
      <c r="BD741" s="29"/>
      <c r="BE741" s="29"/>
      <c r="BF741" s="29"/>
      <c r="BG741" s="29"/>
      <c r="BH741" s="29"/>
      <c r="BI741" s="29"/>
      <c r="BJ741" s="29"/>
      <c r="BK741" s="29"/>
      <c r="BL741" s="29"/>
      <c r="BM741" s="29"/>
      <c r="BN741" s="29"/>
      <c r="BO741" s="29"/>
      <c r="BP741" s="29"/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  <c r="CE741" s="29"/>
    </row>
    <row r="742"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  <c r="BC742" s="29"/>
      <c r="BD742" s="29"/>
      <c r="BE742" s="29"/>
      <c r="BF742" s="29"/>
      <c r="BG742" s="29"/>
      <c r="BH742" s="29"/>
      <c r="BI742" s="29"/>
      <c r="BJ742" s="29"/>
      <c r="BK742" s="29"/>
      <c r="BL742" s="29"/>
      <c r="BM742" s="29"/>
      <c r="BN742" s="29"/>
      <c r="BO742" s="29"/>
      <c r="BP742" s="29"/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  <c r="CE742" s="29"/>
    </row>
    <row r="743"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  <c r="BC743" s="29"/>
      <c r="BD743" s="29"/>
      <c r="BE743" s="29"/>
      <c r="BF743" s="29"/>
      <c r="BG743" s="29"/>
      <c r="BH743" s="29"/>
      <c r="BI743" s="29"/>
      <c r="BJ743" s="29"/>
      <c r="BK743" s="29"/>
      <c r="BL743" s="29"/>
      <c r="BM743" s="29"/>
      <c r="BN743" s="29"/>
      <c r="BO743" s="29"/>
      <c r="BP743" s="29"/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  <c r="CE743" s="29"/>
    </row>
    <row r="744"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  <c r="BC744" s="29"/>
      <c r="BD744" s="29"/>
      <c r="BE744" s="29"/>
      <c r="BF744" s="29"/>
      <c r="BG744" s="29"/>
      <c r="BH744" s="29"/>
      <c r="BI744" s="29"/>
      <c r="BJ744" s="29"/>
      <c r="BK744" s="29"/>
      <c r="BL744" s="29"/>
      <c r="BM744" s="29"/>
      <c r="BN744" s="29"/>
      <c r="BO744" s="29"/>
      <c r="BP744" s="29"/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  <c r="CE744" s="29"/>
    </row>
    <row r="745"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  <c r="BC745" s="29"/>
      <c r="BD745" s="29"/>
      <c r="BE745" s="29"/>
      <c r="BF745" s="29"/>
      <c r="BG745" s="29"/>
      <c r="BH745" s="29"/>
      <c r="BI745" s="29"/>
      <c r="BJ745" s="29"/>
      <c r="BK745" s="29"/>
      <c r="BL745" s="29"/>
      <c r="BM745" s="29"/>
      <c r="BN745" s="29"/>
      <c r="BO745" s="29"/>
      <c r="BP745" s="29"/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  <c r="CE745" s="29"/>
    </row>
    <row r="746"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  <c r="BC746" s="29"/>
      <c r="BD746" s="29"/>
      <c r="BE746" s="29"/>
      <c r="BF746" s="29"/>
      <c r="BG746" s="29"/>
      <c r="BH746" s="29"/>
      <c r="BI746" s="29"/>
      <c r="BJ746" s="29"/>
      <c r="BK746" s="29"/>
      <c r="BL746" s="29"/>
      <c r="BM746" s="29"/>
      <c r="BN746" s="29"/>
      <c r="BO746" s="29"/>
      <c r="BP746" s="29"/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  <c r="CE746" s="29"/>
    </row>
    <row r="747"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29"/>
      <c r="BF747" s="29"/>
      <c r="BG747" s="29"/>
      <c r="BH747" s="29"/>
      <c r="BI747" s="29"/>
      <c r="BJ747" s="29"/>
      <c r="BK747" s="29"/>
      <c r="BL747" s="29"/>
      <c r="BM747" s="29"/>
      <c r="BN747" s="29"/>
      <c r="BO747" s="29"/>
      <c r="BP747" s="29"/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  <c r="CE747" s="29"/>
    </row>
    <row r="748"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  <c r="BC748" s="29"/>
      <c r="BD748" s="29"/>
      <c r="BE748" s="29"/>
      <c r="BF748" s="29"/>
      <c r="BG748" s="29"/>
      <c r="BH748" s="29"/>
      <c r="BI748" s="29"/>
      <c r="BJ748" s="29"/>
      <c r="BK748" s="29"/>
      <c r="BL748" s="29"/>
      <c r="BM748" s="29"/>
      <c r="BN748" s="29"/>
      <c r="BO748" s="29"/>
      <c r="BP748" s="29"/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  <c r="CE748" s="29"/>
    </row>
    <row r="749"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  <c r="BC749" s="29"/>
      <c r="BD749" s="29"/>
      <c r="BE749" s="29"/>
      <c r="BF749" s="29"/>
      <c r="BG749" s="29"/>
      <c r="BH749" s="29"/>
      <c r="BI749" s="29"/>
      <c r="BJ749" s="29"/>
      <c r="BK749" s="29"/>
      <c r="BL749" s="29"/>
      <c r="BM749" s="29"/>
      <c r="BN749" s="29"/>
      <c r="BO749" s="29"/>
      <c r="BP749" s="29"/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  <c r="CE749" s="29"/>
    </row>
    <row r="750"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  <c r="BC750" s="29"/>
      <c r="BD750" s="29"/>
      <c r="BE750" s="29"/>
      <c r="BF750" s="29"/>
      <c r="BG750" s="29"/>
      <c r="BH750" s="29"/>
      <c r="BI750" s="29"/>
      <c r="BJ750" s="29"/>
      <c r="BK750" s="29"/>
      <c r="BL750" s="29"/>
      <c r="BM750" s="29"/>
      <c r="BN750" s="29"/>
      <c r="BO750" s="29"/>
      <c r="BP750" s="29"/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  <c r="CE750" s="29"/>
    </row>
    <row r="751"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  <c r="BC751" s="29"/>
      <c r="BD751" s="29"/>
      <c r="BE751" s="29"/>
      <c r="BF751" s="29"/>
      <c r="BG751" s="29"/>
      <c r="BH751" s="29"/>
      <c r="BI751" s="29"/>
      <c r="BJ751" s="29"/>
      <c r="BK751" s="29"/>
      <c r="BL751" s="29"/>
      <c r="BM751" s="29"/>
      <c r="BN751" s="29"/>
      <c r="BO751" s="29"/>
      <c r="BP751" s="29"/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  <c r="CE751" s="29"/>
    </row>
    <row r="752"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  <c r="BC752" s="29"/>
      <c r="BD752" s="29"/>
      <c r="BE752" s="29"/>
      <c r="BF752" s="29"/>
      <c r="BG752" s="29"/>
      <c r="BH752" s="29"/>
      <c r="BI752" s="29"/>
      <c r="BJ752" s="29"/>
      <c r="BK752" s="29"/>
      <c r="BL752" s="29"/>
      <c r="BM752" s="29"/>
      <c r="BN752" s="29"/>
      <c r="BO752" s="29"/>
      <c r="BP752" s="29"/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  <c r="CE752" s="29"/>
    </row>
    <row r="753"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  <c r="BC753" s="29"/>
      <c r="BD753" s="29"/>
      <c r="BE753" s="29"/>
      <c r="BF753" s="29"/>
      <c r="BG753" s="29"/>
      <c r="BH753" s="29"/>
      <c r="BI753" s="29"/>
      <c r="BJ753" s="29"/>
      <c r="BK753" s="29"/>
      <c r="BL753" s="29"/>
      <c r="BM753" s="29"/>
      <c r="BN753" s="29"/>
      <c r="BO753" s="29"/>
      <c r="BP753" s="29"/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  <c r="CE753" s="29"/>
    </row>
    <row r="754"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  <c r="BC754" s="29"/>
      <c r="BD754" s="29"/>
      <c r="BE754" s="29"/>
      <c r="BF754" s="29"/>
      <c r="BG754" s="29"/>
      <c r="BH754" s="29"/>
      <c r="BI754" s="29"/>
      <c r="BJ754" s="29"/>
      <c r="BK754" s="29"/>
      <c r="BL754" s="29"/>
      <c r="BM754" s="29"/>
      <c r="BN754" s="29"/>
      <c r="BO754" s="29"/>
      <c r="BP754" s="29"/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  <c r="CE754" s="29"/>
    </row>
    <row r="755"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  <c r="BC755" s="29"/>
      <c r="BD755" s="29"/>
      <c r="BE755" s="29"/>
      <c r="BF755" s="29"/>
      <c r="BG755" s="29"/>
      <c r="BH755" s="29"/>
      <c r="BI755" s="29"/>
      <c r="BJ755" s="29"/>
      <c r="BK755" s="29"/>
      <c r="BL755" s="29"/>
      <c r="BM755" s="29"/>
      <c r="BN755" s="29"/>
      <c r="BO755" s="29"/>
      <c r="BP755" s="29"/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  <c r="CE755" s="29"/>
    </row>
    <row r="756"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  <c r="BC756" s="29"/>
      <c r="BD756" s="29"/>
      <c r="BE756" s="29"/>
      <c r="BF756" s="29"/>
      <c r="BG756" s="29"/>
      <c r="BH756" s="29"/>
      <c r="BI756" s="29"/>
      <c r="BJ756" s="29"/>
      <c r="BK756" s="29"/>
      <c r="BL756" s="29"/>
      <c r="BM756" s="29"/>
      <c r="BN756" s="29"/>
      <c r="BO756" s="29"/>
      <c r="BP756" s="29"/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  <c r="CE756" s="29"/>
    </row>
    <row r="757"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  <c r="BC757" s="29"/>
      <c r="BD757" s="29"/>
      <c r="BE757" s="29"/>
      <c r="BF757" s="29"/>
      <c r="BG757" s="29"/>
      <c r="BH757" s="29"/>
      <c r="BI757" s="29"/>
      <c r="BJ757" s="29"/>
      <c r="BK757" s="29"/>
      <c r="BL757" s="29"/>
      <c r="BM757" s="29"/>
      <c r="BN757" s="29"/>
      <c r="BO757" s="29"/>
      <c r="BP757" s="29"/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  <c r="CE757" s="29"/>
    </row>
    <row r="758"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  <c r="BC758" s="29"/>
      <c r="BD758" s="29"/>
      <c r="BE758" s="29"/>
      <c r="BF758" s="29"/>
      <c r="BG758" s="29"/>
      <c r="BH758" s="29"/>
      <c r="BI758" s="29"/>
      <c r="BJ758" s="29"/>
      <c r="BK758" s="29"/>
      <c r="BL758" s="29"/>
      <c r="BM758" s="29"/>
      <c r="BN758" s="29"/>
      <c r="BO758" s="29"/>
      <c r="BP758" s="29"/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  <c r="CE758" s="29"/>
    </row>
    <row r="759"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  <c r="BC759" s="29"/>
      <c r="BD759" s="29"/>
      <c r="BE759" s="29"/>
      <c r="BF759" s="29"/>
      <c r="BG759" s="29"/>
      <c r="BH759" s="29"/>
      <c r="BI759" s="29"/>
      <c r="BJ759" s="29"/>
      <c r="BK759" s="29"/>
      <c r="BL759" s="29"/>
      <c r="BM759" s="29"/>
      <c r="BN759" s="29"/>
      <c r="BO759" s="29"/>
      <c r="BP759" s="29"/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  <c r="CE759" s="29"/>
    </row>
    <row r="760"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  <c r="BC760" s="29"/>
      <c r="BD760" s="29"/>
      <c r="BE760" s="29"/>
      <c r="BF760" s="29"/>
      <c r="BG760" s="29"/>
      <c r="BH760" s="29"/>
      <c r="BI760" s="29"/>
      <c r="BJ760" s="29"/>
      <c r="BK760" s="29"/>
      <c r="BL760" s="29"/>
      <c r="BM760" s="29"/>
      <c r="BN760" s="29"/>
      <c r="BO760" s="29"/>
      <c r="BP760" s="29"/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  <c r="CE760" s="29"/>
    </row>
    <row r="761"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  <c r="BC761" s="29"/>
      <c r="BD761" s="29"/>
      <c r="BE761" s="29"/>
      <c r="BF761" s="29"/>
      <c r="BG761" s="29"/>
      <c r="BH761" s="29"/>
      <c r="BI761" s="29"/>
      <c r="BJ761" s="29"/>
      <c r="BK761" s="29"/>
      <c r="BL761" s="29"/>
      <c r="BM761" s="29"/>
      <c r="BN761" s="29"/>
      <c r="BO761" s="29"/>
      <c r="BP761" s="29"/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  <c r="CE761" s="29"/>
    </row>
    <row r="762"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  <c r="BC762" s="29"/>
      <c r="BD762" s="29"/>
      <c r="BE762" s="29"/>
      <c r="BF762" s="29"/>
      <c r="BG762" s="29"/>
      <c r="BH762" s="29"/>
      <c r="BI762" s="29"/>
      <c r="BJ762" s="29"/>
      <c r="BK762" s="29"/>
      <c r="BL762" s="29"/>
      <c r="BM762" s="29"/>
      <c r="BN762" s="29"/>
      <c r="BO762" s="29"/>
      <c r="BP762" s="29"/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  <c r="CE762" s="29"/>
    </row>
    <row r="763"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  <c r="BC763" s="29"/>
      <c r="BD763" s="29"/>
      <c r="BE763" s="29"/>
      <c r="BF763" s="29"/>
      <c r="BG763" s="29"/>
      <c r="BH763" s="29"/>
      <c r="BI763" s="29"/>
      <c r="BJ763" s="29"/>
      <c r="BK763" s="29"/>
      <c r="BL763" s="29"/>
      <c r="BM763" s="29"/>
      <c r="BN763" s="29"/>
      <c r="BO763" s="29"/>
      <c r="BP763" s="29"/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  <c r="CE763" s="29"/>
    </row>
    <row r="764"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  <c r="BC764" s="29"/>
      <c r="BD764" s="29"/>
      <c r="BE764" s="29"/>
      <c r="BF764" s="29"/>
      <c r="BG764" s="29"/>
      <c r="BH764" s="29"/>
      <c r="BI764" s="29"/>
      <c r="BJ764" s="29"/>
      <c r="BK764" s="29"/>
      <c r="BL764" s="29"/>
      <c r="BM764" s="29"/>
      <c r="BN764" s="29"/>
      <c r="BO764" s="29"/>
      <c r="BP764" s="29"/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  <c r="CE764" s="29"/>
    </row>
    <row r="765"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  <c r="BC765" s="29"/>
      <c r="BD765" s="29"/>
      <c r="BE765" s="29"/>
      <c r="BF765" s="29"/>
      <c r="BG765" s="29"/>
      <c r="BH765" s="29"/>
      <c r="BI765" s="29"/>
      <c r="BJ765" s="29"/>
      <c r="BK765" s="29"/>
      <c r="BL765" s="29"/>
      <c r="BM765" s="29"/>
      <c r="BN765" s="29"/>
      <c r="BO765" s="29"/>
      <c r="BP765" s="29"/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  <c r="CE765" s="29"/>
    </row>
    <row r="766"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  <c r="BC766" s="29"/>
      <c r="BD766" s="29"/>
      <c r="BE766" s="29"/>
      <c r="BF766" s="29"/>
      <c r="BG766" s="29"/>
      <c r="BH766" s="29"/>
      <c r="BI766" s="29"/>
      <c r="BJ766" s="29"/>
      <c r="BK766" s="29"/>
      <c r="BL766" s="29"/>
      <c r="BM766" s="29"/>
      <c r="BN766" s="29"/>
      <c r="BO766" s="29"/>
      <c r="BP766" s="29"/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  <c r="CE766" s="29"/>
    </row>
    <row r="767"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  <c r="BC767" s="29"/>
      <c r="BD767" s="29"/>
      <c r="BE767" s="29"/>
      <c r="BF767" s="29"/>
      <c r="BG767" s="29"/>
      <c r="BH767" s="29"/>
      <c r="BI767" s="29"/>
      <c r="BJ767" s="29"/>
      <c r="BK767" s="29"/>
      <c r="BL767" s="29"/>
      <c r="BM767" s="29"/>
      <c r="BN767" s="29"/>
      <c r="BO767" s="29"/>
      <c r="BP767" s="29"/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  <c r="CE767" s="29"/>
    </row>
    <row r="768"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  <c r="BC768" s="29"/>
      <c r="BD768" s="29"/>
      <c r="BE768" s="29"/>
      <c r="BF768" s="29"/>
      <c r="BG768" s="29"/>
      <c r="BH768" s="29"/>
      <c r="BI768" s="29"/>
      <c r="BJ768" s="29"/>
      <c r="BK768" s="29"/>
      <c r="BL768" s="29"/>
      <c r="BM768" s="29"/>
      <c r="BN768" s="29"/>
      <c r="BO768" s="29"/>
      <c r="BP768" s="29"/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  <c r="CE768" s="29"/>
    </row>
    <row r="769"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  <c r="BC769" s="29"/>
      <c r="BD769" s="29"/>
      <c r="BE769" s="29"/>
      <c r="BF769" s="29"/>
      <c r="BG769" s="29"/>
      <c r="BH769" s="29"/>
      <c r="BI769" s="29"/>
      <c r="BJ769" s="29"/>
      <c r="BK769" s="29"/>
      <c r="BL769" s="29"/>
      <c r="BM769" s="29"/>
      <c r="BN769" s="29"/>
      <c r="BO769" s="29"/>
      <c r="BP769" s="29"/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  <c r="CE769" s="29"/>
    </row>
    <row r="770"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  <c r="BC770" s="29"/>
      <c r="BD770" s="29"/>
      <c r="BE770" s="29"/>
      <c r="BF770" s="29"/>
      <c r="BG770" s="29"/>
      <c r="BH770" s="29"/>
      <c r="BI770" s="29"/>
      <c r="BJ770" s="29"/>
      <c r="BK770" s="29"/>
      <c r="BL770" s="29"/>
      <c r="BM770" s="29"/>
      <c r="BN770" s="29"/>
      <c r="BO770" s="29"/>
      <c r="BP770" s="29"/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  <c r="CE770" s="29"/>
    </row>
    <row r="771"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  <c r="BC771" s="29"/>
      <c r="BD771" s="29"/>
      <c r="BE771" s="29"/>
      <c r="BF771" s="29"/>
      <c r="BG771" s="29"/>
      <c r="BH771" s="29"/>
      <c r="BI771" s="29"/>
      <c r="BJ771" s="29"/>
      <c r="BK771" s="29"/>
      <c r="BL771" s="29"/>
      <c r="BM771" s="29"/>
      <c r="BN771" s="29"/>
      <c r="BO771" s="29"/>
      <c r="BP771" s="29"/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  <c r="CE771" s="29"/>
    </row>
    <row r="772"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  <c r="BC772" s="29"/>
      <c r="BD772" s="29"/>
      <c r="BE772" s="29"/>
      <c r="BF772" s="29"/>
      <c r="BG772" s="29"/>
      <c r="BH772" s="29"/>
      <c r="BI772" s="29"/>
      <c r="BJ772" s="29"/>
      <c r="BK772" s="29"/>
      <c r="BL772" s="29"/>
      <c r="BM772" s="29"/>
      <c r="BN772" s="29"/>
      <c r="BO772" s="29"/>
      <c r="BP772" s="29"/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  <c r="CE772" s="29"/>
    </row>
    <row r="773"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  <c r="BC773" s="29"/>
      <c r="BD773" s="29"/>
      <c r="BE773" s="29"/>
      <c r="BF773" s="29"/>
      <c r="BG773" s="29"/>
      <c r="BH773" s="29"/>
      <c r="BI773" s="29"/>
      <c r="BJ773" s="29"/>
      <c r="BK773" s="29"/>
      <c r="BL773" s="29"/>
      <c r="BM773" s="29"/>
      <c r="BN773" s="29"/>
      <c r="BO773" s="29"/>
      <c r="BP773" s="29"/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  <c r="CE773" s="29"/>
    </row>
    <row r="774"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  <c r="BC774" s="29"/>
      <c r="BD774" s="29"/>
      <c r="BE774" s="29"/>
      <c r="BF774" s="29"/>
      <c r="BG774" s="29"/>
      <c r="BH774" s="29"/>
      <c r="BI774" s="29"/>
      <c r="BJ774" s="29"/>
      <c r="BK774" s="29"/>
      <c r="BL774" s="29"/>
      <c r="BM774" s="29"/>
      <c r="BN774" s="29"/>
      <c r="BO774" s="29"/>
      <c r="BP774" s="29"/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  <c r="CE774" s="29"/>
    </row>
    <row r="775"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  <c r="BC775" s="29"/>
      <c r="BD775" s="29"/>
      <c r="BE775" s="29"/>
      <c r="BF775" s="29"/>
      <c r="BG775" s="29"/>
      <c r="BH775" s="29"/>
      <c r="BI775" s="29"/>
      <c r="BJ775" s="29"/>
      <c r="BK775" s="29"/>
      <c r="BL775" s="29"/>
      <c r="BM775" s="29"/>
      <c r="BN775" s="29"/>
      <c r="BO775" s="29"/>
      <c r="BP775" s="29"/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  <c r="CE775" s="29"/>
    </row>
    <row r="776"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  <c r="BC776" s="29"/>
      <c r="BD776" s="29"/>
      <c r="BE776" s="29"/>
      <c r="BF776" s="29"/>
      <c r="BG776" s="29"/>
      <c r="BH776" s="29"/>
      <c r="BI776" s="29"/>
      <c r="BJ776" s="29"/>
      <c r="BK776" s="29"/>
      <c r="BL776" s="29"/>
      <c r="BM776" s="29"/>
      <c r="BN776" s="29"/>
      <c r="BO776" s="29"/>
      <c r="BP776" s="29"/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  <c r="CE776" s="29"/>
    </row>
    <row r="777"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  <c r="BC777" s="29"/>
      <c r="BD777" s="29"/>
      <c r="BE777" s="29"/>
      <c r="BF777" s="29"/>
      <c r="BG777" s="29"/>
      <c r="BH777" s="29"/>
      <c r="BI777" s="29"/>
      <c r="BJ777" s="29"/>
      <c r="BK777" s="29"/>
      <c r="BL777" s="29"/>
      <c r="BM777" s="29"/>
      <c r="BN777" s="29"/>
      <c r="BO777" s="29"/>
      <c r="BP777" s="29"/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  <c r="CE777" s="29"/>
    </row>
    <row r="778"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  <c r="BC778" s="29"/>
      <c r="BD778" s="29"/>
      <c r="BE778" s="29"/>
      <c r="BF778" s="29"/>
      <c r="BG778" s="29"/>
      <c r="BH778" s="29"/>
      <c r="BI778" s="29"/>
      <c r="BJ778" s="29"/>
      <c r="BK778" s="29"/>
      <c r="BL778" s="29"/>
      <c r="BM778" s="29"/>
      <c r="BN778" s="29"/>
      <c r="BO778" s="29"/>
      <c r="BP778" s="29"/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  <c r="CE778" s="29"/>
    </row>
    <row r="779"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  <c r="BC779" s="29"/>
      <c r="BD779" s="29"/>
      <c r="BE779" s="29"/>
      <c r="BF779" s="29"/>
      <c r="BG779" s="29"/>
      <c r="BH779" s="29"/>
      <c r="BI779" s="29"/>
      <c r="BJ779" s="29"/>
      <c r="BK779" s="29"/>
      <c r="BL779" s="29"/>
      <c r="BM779" s="29"/>
      <c r="BN779" s="29"/>
      <c r="BO779" s="29"/>
      <c r="BP779" s="29"/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  <c r="CE779" s="29"/>
    </row>
    <row r="780"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  <c r="BC780" s="29"/>
      <c r="BD780" s="29"/>
      <c r="BE780" s="29"/>
      <c r="BF780" s="29"/>
      <c r="BG780" s="29"/>
      <c r="BH780" s="29"/>
      <c r="BI780" s="29"/>
      <c r="BJ780" s="29"/>
      <c r="BK780" s="29"/>
      <c r="BL780" s="29"/>
      <c r="BM780" s="29"/>
      <c r="BN780" s="29"/>
      <c r="BO780" s="29"/>
      <c r="BP780" s="29"/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  <c r="CE780" s="29"/>
    </row>
    <row r="781"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  <c r="BC781" s="29"/>
      <c r="BD781" s="29"/>
      <c r="BE781" s="29"/>
      <c r="BF781" s="29"/>
      <c r="BG781" s="29"/>
      <c r="BH781" s="29"/>
      <c r="BI781" s="29"/>
      <c r="BJ781" s="29"/>
      <c r="BK781" s="29"/>
      <c r="BL781" s="29"/>
      <c r="BM781" s="29"/>
      <c r="BN781" s="29"/>
      <c r="BO781" s="29"/>
      <c r="BP781" s="29"/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  <c r="CE781" s="29"/>
    </row>
    <row r="782"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  <c r="BC782" s="29"/>
      <c r="BD782" s="29"/>
      <c r="BE782" s="29"/>
      <c r="BF782" s="29"/>
      <c r="BG782" s="29"/>
      <c r="BH782" s="29"/>
      <c r="BI782" s="29"/>
      <c r="BJ782" s="29"/>
      <c r="BK782" s="29"/>
      <c r="BL782" s="29"/>
      <c r="BM782" s="29"/>
      <c r="BN782" s="29"/>
      <c r="BO782" s="29"/>
      <c r="BP782" s="29"/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  <c r="CE782" s="29"/>
    </row>
    <row r="783"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  <c r="BC783" s="29"/>
      <c r="BD783" s="29"/>
      <c r="BE783" s="29"/>
      <c r="BF783" s="29"/>
      <c r="BG783" s="29"/>
      <c r="BH783" s="29"/>
      <c r="BI783" s="29"/>
      <c r="BJ783" s="29"/>
      <c r="BK783" s="29"/>
      <c r="BL783" s="29"/>
      <c r="BM783" s="29"/>
      <c r="BN783" s="29"/>
      <c r="BO783" s="29"/>
      <c r="BP783" s="29"/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  <c r="CE783" s="29"/>
    </row>
    <row r="784"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  <c r="BC784" s="29"/>
      <c r="BD784" s="29"/>
      <c r="BE784" s="29"/>
      <c r="BF784" s="29"/>
      <c r="BG784" s="29"/>
      <c r="BH784" s="29"/>
      <c r="BI784" s="29"/>
      <c r="BJ784" s="29"/>
      <c r="BK784" s="29"/>
      <c r="BL784" s="29"/>
      <c r="BM784" s="29"/>
      <c r="BN784" s="29"/>
      <c r="BO784" s="29"/>
      <c r="BP784" s="29"/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  <c r="CE784" s="29"/>
    </row>
    <row r="785"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  <c r="BC785" s="29"/>
      <c r="BD785" s="29"/>
      <c r="BE785" s="29"/>
      <c r="BF785" s="29"/>
      <c r="BG785" s="29"/>
      <c r="BH785" s="29"/>
      <c r="BI785" s="29"/>
      <c r="BJ785" s="29"/>
      <c r="BK785" s="29"/>
      <c r="BL785" s="29"/>
      <c r="BM785" s="29"/>
      <c r="BN785" s="29"/>
      <c r="BO785" s="29"/>
      <c r="BP785" s="29"/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  <c r="CE785" s="29"/>
    </row>
    <row r="786"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  <c r="BC786" s="29"/>
      <c r="BD786" s="29"/>
      <c r="BE786" s="29"/>
      <c r="BF786" s="29"/>
      <c r="BG786" s="29"/>
      <c r="BH786" s="29"/>
      <c r="BI786" s="29"/>
      <c r="BJ786" s="29"/>
      <c r="BK786" s="29"/>
      <c r="BL786" s="29"/>
      <c r="BM786" s="29"/>
      <c r="BN786" s="29"/>
      <c r="BO786" s="29"/>
      <c r="BP786" s="29"/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  <c r="CE786" s="29"/>
    </row>
    <row r="787"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  <c r="BC787" s="29"/>
      <c r="BD787" s="29"/>
      <c r="BE787" s="29"/>
      <c r="BF787" s="29"/>
      <c r="BG787" s="29"/>
      <c r="BH787" s="29"/>
      <c r="BI787" s="29"/>
      <c r="BJ787" s="29"/>
      <c r="BK787" s="29"/>
      <c r="BL787" s="29"/>
      <c r="BM787" s="29"/>
      <c r="BN787" s="29"/>
      <c r="BO787" s="29"/>
      <c r="BP787" s="29"/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  <c r="CE787" s="29"/>
    </row>
    <row r="788"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  <c r="BC788" s="29"/>
      <c r="BD788" s="29"/>
      <c r="BE788" s="29"/>
      <c r="BF788" s="29"/>
      <c r="BG788" s="29"/>
      <c r="BH788" s="29"/>
      <c r="BI788" s="29"/>
      <c r="BJ788" s="29"/>
      <c r="BK788" s="29"/>
      <c r="BL788" s="29"/>
      <c r="BM788" s="29"/>
      <c r="BN788" s="29"/>
      <c r="BO788" s="29"/>
      <c r="BP788" s="29"/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  <c r="CE788" s="29"/>
    </row>
    <row r="789"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  <c r="BC789" s="29"/>
      <c r="BD789" s="29"/>
      <c r="BE789" s="29"/>
      <c r="BF789" s="29"/>
      <c r="BG789" s="29"/>
      <c r="BH789" s="29"/>
      <c r="BI789" s="29"/>
      <c r="BJ789" s="29"/>
      <c r="BK789" s="29"/>
      <c r="BL789" s="29"/>
      <c r="BM789" s="29"/>
      <c r="BN789" s="29"/>
      <c r="BO789" s="29"/>
      <c r="BP789" s="29"/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  <c r="CE789" s="29"/>
    </row>
    <row r="790"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  <c r="BC790" s="29"/>
      <c r="BD790" s="29"/>
      <c r="BE790" s="29"/>
      <c r="BF790" s="29"/>
      <c r="BG790" s="29"/>
      <c r="BH790" s="29"/>
      <c r="BI790" s="29"/>
      <c r="BJ790" s="29"/>
      <c r="BK790" s="29"/>
      <c r="BL790" s="29"/>
      <c r="BM790" s="29"/>
      <c r="BN790" s="29"/>
      <c r="BO790" s="29"/>
      <c r="BP790" s="29"/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  <c r="CE790" s="29"/>
    </row>
    <row r="791"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  <c r="BC791" s="29"/>
      <c r="BD791" s="29"/>
      <c r="BE791" s="29"/>
      <c r="BF791" s="29"/>
      <c r="BG791" s="29"/>
      <c r="BH791" s="29"/>
      <c r="BI791" s="29"/>
      <c r="BJ791" s="29"/>
      <c r="BK791" s="29"/>
      <c r="BL791" s="29"/>
      <c r="BM791" s="29"/>
      <c r="BN791" s="29"/>
      <c r="BO791" s="29"/>
      <c r="BP791" s="29"/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  <c r="CE791" s="29"/>
    </row>
    <row r="792"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  <c r="BC792" s="29"/>
      <c r="BD792" s="29"/>
      <c r="BE792" s="29"/>
      <c r="BF792" s="29"/>
      <c r="BG792" s="29"/>
      <c r="BH792" s="29"/>
      <c r="BI792" s="29"/>
      <c r="BJ792" s="29"/>
      <c r="BK792" s="29"/>
      <c r="BL792" s="29"/>
      <c r="BM792" s="29"/>
      <c r="BN792" s="29"/>
      <c r="BO792" s="29"/>
      <c r="BP792" s="29"/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  <c r="CE792" s="29"/>
    </row>
    <row r="793"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  <c r="BC793" s="29"/>
      <c r="BD793" s="29"/>
      <c r="BE793" s="29"/>
      <c r="BF793" s="29"/>
      <c r="BG793" s="29"/>
      <c r="BH793" s="29"/>
      <c r="BI793" s="29"/>
      <c r="BJ793" s="29"/>
      <c r="BK793" s="29"/>
      <c r="BL793" s="29"/>
      <c r="BM793" s="29"/>
      <c r="BN793" s="29"/>
      <c r="BO793" s="29"/>
      <c r="BP793" s="29"/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  <c r="CE793" s="29"/>
    </row>
    <row r="794"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  <c r="BC794" s="29"/>
      <c r="BD794" s="29"/>
      <c r="BE794" s="29"/>
      <c r="BF794" s="29"/>
      <c r="BG794" s="29"/>
      <c r="BH794" s="29"/>
      <c r="BI794" s="29"/>
      <c r="BJ794" s="29"/>
      <c r="BK794" s="29"/>
      <c r="BL794" s="29"/>
      <c r="BM794" s="29"/>
      <c r="BN794" s="29"/>
      <c r="BO794" s="29"/>
      <c r="BP794" s="29"/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  <c r="CE794" s="29"/>
    </row>
    <row r="795"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  <c r="BC795" s="29"/>
      <c r="BD795" s="29"/>
      <c r="BE795" s="29"/>
      <c r="BF795" s="29"/>
      <c r="BG795" s="29"/>
      <c r="BH795" s="29"/>
      <c r="BI795" s="29"/>
      <c r="BJ795" s="29"/>
      <c r="BK795" s="29"/>
      <c r="BL795" s="29"/>
      <c r="BM795" s="29"/>
      <c r="BN795" s="29"/>
      <c r="BO795" s="29"/>
      <c r="BP795" s="29"/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  <c r="CE795" s="29"/>
    </row>
    <row r="796"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  <c r="BC796" s="29"/>
      <c r="BD796" s="29"/>
      <c r="BE796" s="29"/>
      <c r="BF796" s="29"/>
      <c r="BG796" s="29"/>
      <c r="BH796" s="29"/>
      <c r="BI796" s="29"/>
      <c r="BJ796" s="29"/>
      <c r="BK796" s="29"/>
      <c r="BL796" s="29"/>
      <c r="BM796" s="29"/>
      <c r="BN796" s="29"/>
      <c r="BO796" s="29"/>
      <c r="BP796" s="29"/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  <c r="CE796" s="29"/>
    </row>
    <row r="797"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  <c r="BC797" s="29"/>
      <c r="BD797" s="29"/>
      <c r="BE797" s="29"/>
      <c r="BF797" s="29"/>
      <c r="BG797" s="29"/>
      <c r="BH797" s="29"/>
      <c r="BI797" s="29"/>
      <c r="BJ797" s="29"/>
      <c r="BK797" s="29"/>
      <c r="BL797" s="29"/>
      <c r="BM797" s="29"/>
      <c r="BN797" s="29"/>
      <c r="BO797" s="29"/>
      <c r="BP797" s="29"/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  <c r="CE797" s="29"/>
    </row>
    <row r="798"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  <c r="BC798" s="29"/>
      <c r="BD798" s="29"/>
      <c r="BE798" s="29"/>
      <c r="BF798" s="29"/>
      <c r="BG798" s="29"/>
      <c r="BH798" s="29"/>
      <c r="BI798" s="29"/>
      <c r="BJ798" s="29"/>
      <c r="BK798" s="29"/>
      <c r="BL798" s="29"/>
      <c r="BM798" s="29"/>
      <c r="BN798" s="29"/>
      <c r="BO798" s="29"/>
      <c r="BP798" s="29"/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  <c r="CE798" s="29"/>
    </row>
    <row r="799"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  <c r="BC799" s="29"/>
      <c r="BD799" s="29"/>
      <c r="BE799" s="29"/>
      <c r="BF799" s="29"/>
      <c r="BG799" s="29"/>
      <c r="BH799" s="29"/>
      <c r="BI799" s="29"/>
      <c r="BJ799" s="29"/>
      <c r="BK799" s="29"/>
      <c r="BL799" s="29"/>
      <c r="BM799" s="29"/>
      <c r="BN799" s="29"/>
      <c r="BO799" s="29"/>
      <c r="BP799" s="29"/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  <c r="CE799" s="29"/>
    </row>
    <row r="800"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  <c r="BC800" s="29"/>
      <c r="BD800" s="29"/>
      <c r="BE800" s="29"/>
      <c r="BF800" s="29"/>
      <c r="BG800" s="29"/>
      <c r="BH800" s="29"/>
      <c r="BI800" s="29"/>
      <c r="BJ800" s="29"/>
      <c r="BK800" s="29"/>
      <c r="BL800" s="29"/>
      <c r="BM800" s="29"/>
      <c r="BN800" s="29"/>
      <c r="BO800" s="29"/>
      <c r="BP800" s="29"/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  <c r="CE800" s="29"/>
    </row>
    <row r="801"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  <c r="BC801" s="29"/>
      <c r="BD801" s="29"/>
      <c r="BE801" s="29"/>
      <c r="BF801" s="29"/>
      <c r="BG801" s="29"/>
      <c r="BH801" s="29"/>
      <c r="BI801" s="29"/>
      <c r="BJ801" s="29"/>
      <c r="BK801" s="29"/>
      <c r="BL801" s="29"/>
      <c r="BM801" s="29"/>
      <c r="BN801" s="29"/>
      <c r="BO801" s="29"/>
      <c r="BP801" s="29"/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  <c r="CE801" s="29"/>
    </row>
    <row r="802"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  <c r="BC802" s="29"/>
      <c r="BD802" s="29"/>
      <c r="BE802" s="29"/>
      <c r="BF802" s="29"/>
      <c r="BG802" s="29"/>
      <c r="BH802" s="29"/>
      <c r="BI802" s="29"/>
      <c r="BJ802" s="29"/>
      <c r="BK802" s="29"/>
      <c r="BL802" s="29"/>
      <c r="BM802" s="29"/>
      <c r="BN802" s="29"/>
      <c r="BO802" s="29"/>
      <c r="BP802" s="29"/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  <c r="CE802" s="29"/>
    </row>
    <row r="803"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  <c r="BC803" s="29"/>
      <c r="BD803" s="29"/>
      <c r="BE803" s="29"/>
      <c r="BF803" s="29"/>
      <c r="BG803" s="29"/>
      <c r="BH803" s="29"/>
      <c r="BI803" s="29"/>
      <c r="BJ803" s="29"/>
      <c r="BK803" s="29"/>
      <c r="BL803" s="29"/>
      <c r="BM803" s="29"/>
      <c r="BN803" s="29"/>
      <c r="BO803" s="29"/>
      <c r="BP803" s="29"/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  <c r="CE803" s="29"/>
    </row>
    <row r="804"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  <c r="BC804" s="29"/>
      <c r="BD804" s="29"/>
      <c r="BE804" s="29"/>
      <c r="BF804" s="29"/>
      <c r="BG804" s="29"/>
      <c r="BH804" s="29"/>
      <c r="BI804" s="29"/>
      <c r="BJ804" s="29"/>
      <c r="BK804" s="29"/>
      <c r="BL804" s="29"/>
      <c r="BM804" s="29"/>
      <c r="BN804" s="29"/>
      <c r="BO804" s="29"/>
      <c r="BP804" s="29"/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  <c r="CE804" s="29"/>
    </row>
    <row r="805"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  <c r="BC805" s="29"/>
      <c r="BD805" s="29"/>
      <c r="BE805" s="29"/>
      <c r="BF805" s="29"/>
      <c r="BG805" s="29"/>
      <c r="BH805" s="29"/>
      <c r="BI805" s="29"/>
      <c r="BJ805" s="29"/>
      <c r="BK805" s="29"/>
      <c r="BL805" s="29"/>
      <c r="BM805" s="29"/>
      <c r="BN805" s="29"/>
      <c r="BO805" s="29"/>
      <c r="BP805" s="29"/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  <c r="CE805" s="29"/>
    </row>
    <row r="806"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  <c r="BC806" s="29"/>
      <c r="BD806" s="29"/>
      <c r="BE806" s="29"/>
      <c r="BF806" s="29"/>
      <c r="BG806" s="29"/>
      <c r="BH806" s="29"/>
      <c r="BI806" s="29"/>
      <c r="BJ806" s="29"/>
      <c r="BK806" s="29"/>
      <c r="BL806" s="29"/>
      <c r="BM806" s="29"/>
      <c r="BN806" s="29"/>
      <c r="BO806" s="29"/>
      <c r="BP806" s="29"/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  <c r="CE806" s="29"/>
    </row>
    <row r="807"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  <c r="BC807" s="29"/>
      <c r="BD807" s="29"/>
      <c r="BE807" s="29"/>
      <c r="BF807" s="29"/>
      <c r="BG807" s="29"/>
      <c r="BH807" s="29"/>
      <c r="BI807" s="29"/>
      <c r="BJ807" s="29"/>
      <c r="BK807" s="29"/>
      <c r="BL807" s="29"/>
      <c r="BM807" s="29"/>
      <c r="BN807" s="29"/>
      <c r="BO807" s="29"/>
      <c r="BP807" s="29"/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  <c r="CE807" s="29"/>
    </row>
    <row r="808"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  <c r="BC808" s="29"/>
      <c r="BD808" s="29"/>
      <c r="BE808" s="29"/>
      <c r="BF808" s="29"/>
      <c r="BG808" s="29"/>
      <c r="BH808" s="29"/>
      <c r="BI808" s="29"/>
      <c r="BJ808" s="29"/>
      <c r="BK808" s="29"/>
      <c r="BL808" s="29"/>
      <c r="BM808" s="29"/>
      <c r="BN808" s="29"/>
      <c r="BO808" s="29"/>
      <c r="BP808" s="29"/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  <c r="CE808" s="29"/>
    </row>
    <row r="809"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  <c r="BC809" s="29"/>
      <c r="BD809" s="29"/>
      <c r="BE809" s="29"/>
      <c r="BF809" s="29"/>
      <c r="BG809" s="29"/>
      <c r="BH809" s="29"/>
      <c r="BI809" s="29"/>
      <c r="BJ809" s="29"/>
      <c r="BK809" s="29"/>
      <c r="BL809" s="29"/>
      <c r="BM809" s="29"/>
      <c r="BN809" s="29"/>
      <c r="BO809" s="29"/>
      <c r="BP809" s="29"/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  <c r="CE809" s="29"/>
    </row>
    <row r="810"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  <c r="BC810" s="29"/>
      <c r="BD810" s="29"/>
      <c r="BE810" s="29"/>
      <c r="BF810" s="29"/>
      <c r="BG810" s="29"/>
      <c r="BH810" s="29"/>
      <c r="BI810" s="29"/>
      <c r="BJ810" s="29"/>
      <c r="BK810" s="29"/>
      <c r="BL810" s="29"/>
      <c r="BM810" s="29"/>
      <c r="BN810" s="29"/>
      <c r="BO810" s="29"/>
      <c r="BP810" s="29"/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  <c r="CE810" s="29"/>
    </row>
    <row r="811"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  <c r="BC811" s="29"/>
      <c r="BD811" s="29"/>
      <c r="BE811" s="29"/>
      <c r="BF811" s="29"/>
      <c r="BG811" s="29"/>
      <c r="BH811" s="29"/>
      <c r="BI811" s="29"/>
      <c r="BJ811" s="29"/>
      <c r="BK811" s="29"/>
      <c r="BL811" s="29"/>
      <c r="BM811" s="29"/>
      <c r="BN811" s="29"/>
      <c r="BO811" s="29"/>
      <c r="BP811" s="29"/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  <c r="CE811" s="29"/>
    </row>
    <row r="812"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  <c r="BC812" s="29"/>
      <c r="BD812" s="29"/>
      <c r="BE812" s="29"/>
      <c r="BF812" s="29"/>
      <c r="BG812" s="29"/>
      <c r="BH812" s="29"/>
      <c r="BI812" s="29"/>
      <c r="BJ812" s="29"/>
      <c r="BK812" s="29"/>
      <c r="BL812" s="29"/>
      <c r="BM812" s="29"/>
      <c r="BN812" s="29"/>
      <c r="BO812" s="29"/>
      <c r="BP812" s="29"/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  <c r="CE812" s="29"/>
    </row>
    <row r="813"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  <c r="BC813" s="29"/>
      <c r="BD813" s="29"/>
      <c r="BE813" s="29"/>
      <c r="BF813" s="29"/>
      <c r="BG813" s="29"/>
      <c r="BH813" s="29"/>
      <c r="BI813" s="29"/>
      <c r="BJ813" s="29"/>
      <c r="BK813" s="29"/>
      <c r="BL813" s="29"/>
      <c r="BM813" s="29"/>
      <c r="BN813" s="29"/>
      <c r="BO813" s="29"/>
      <c r="BP813" s="29"/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  <c r="CE813" s="29"/>
    </row>
    <row r="814"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  <c r="BC814" s="29"/>
      <c r="BD814" s="29"/>
      <c r="BE814" s="29"/>
      <c r="BF814" s="29"/>
      <c r="BG814" s="29"/>
      <c r="BH814" s="29"/>
      <c r="BI814" s="29"/>
      <c r="BJ814" s="29"/>
      <c r="BK814" s="29"/>
      <c r="BL814" s="29"/>
      <c r="BM814" s="29"/>
      <c r="BN814" s="29"/>
      <c r="BO814" s="29"/>
      <c r="BP814" s="29"/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  <c r="CE814" s="29"/>
    </row>
    <row r="815"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  <c r="BC815" s="29"/>
      <c r="BD815" s="29"/>
      <c r="BE815" s="29"/>
      <c r="BF815" s="29"/>
      <c r="BG815" s="29"/>
      <c r="BH815" s="29"/>
      <c r="BI815" s="29"/>
      <c r="BJ815" s="29"/>
      <c r="BK815" s="29"/>
      <c r="BL815" s="29"/>
      <c r="BM815" s="29"/>
      <c r="BN815" s="29"/>
      <c r="BO815" s="29"/>
      <c r="BP815" s="29"/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  <c r="CE815" s="29"/>
    </row>
    <row r="816"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  <c r="BC816" s="29"/>
      <c r="BD816" s="29"/>
      <c r="BE816" s="29"/>
      <c r="BF816" s="29"/>
      <c r="BG816" s="29"/>
      <c r="BH816" s="29"/>
      <c r="BI816" s="29"/>
      <c r="BJ816" s="29"/>
      <c r="BK816" s="29"/>
      <c r="BL816" s="29"/>
      <c r="BM816" s="29"/>
      <c r="BN816" s="29"/>
      <c r="BO816" s="29"/>
      <c r="BP816" s="29"/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  <c r="CE816" s="29"/>
    </row>
    <row r="817"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  <c r="BC817" s="29"/>
      <c r="BD817" s="29"/>
      <c r="BE817" s="29"/>
      <c r="BF817" s="29"/>
      <c r="BG817" s="29"/>
      <c r="BH817" s="29"/>
      <c r="BI817" s="29"/>
      <c r="BJ817" s="29"/>
      <c r="BK817" s="29"/>
      <c r="BL817" s="29"/>
      <c r="BM817" s="29"/>
      <c r="BN817" s="29"/>
      <c r="BO817" s="29"/>
      <c r="BP817" s="29"/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  <c r="CE817" s="29"/>
    </row>
    <row r="818"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  <c r="BC818" s="29"/>
      <c r="BD818" s="29"/>
      <c r="BE818" s="29"/>
      <c r="BF818" s="29"/>
      <c r="BG818" s="29"/>
      <c r="BH818" s="29"/>
      <c r="BI818" s="29"/>
      <c r="BJ818" s="29"/>
      <c r="BK818" s="29"/>
      <c r="BL818" s="29"/>
      <c r="BM818" s="29"/>
      <c r="BN818" s="29"/>
      <c r="BO818" s="29"/>
      <c r="BP818" s="29"/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  <c r="CE818" s="29"/>
    </row>
    <row r="819"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  <c r="BC819" s="29"/>
      <c r="BD819" s="29"/>
      <c r="BE819" s="29"/>
      <c r="BF819" s="29"/>
      <c r="BG819" s="29"/>
      <c r="BH819" s="29"/>
      <c r="BI819" s="29"/>
      <c r="BJ819" s="29"/>
      <c r="BK819" s="29"/>
      <c r="BL819" s="29"/>
      <c r="BM819" s="29"/>
      <c r="BN819" s="29"/>
      <c r="BO819" s="29"/>
      <c r="BP819" s="29"/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  <c r="CE819" s="29"/>
    </row>
    <row r="820"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  <c r="BC820" s="29"/>
      <c r="BD820" s="29"/>
      <c r="BE820" s="29"/>
      <c r="BF820" s="29"/>
      <c r="BG820" s="29"/>
      <c r="BH820" s="29"/>
      <c r="BI820" s="29"/>
      <c r="BJ820" s="29"/>
      <c r="BK820" s="29"/>
      <c r="BL820" s="29"/>
      <c r="BM820" s="29"/>
      <c r="BN820" s="29"/>
      <c r="BO820" s="29"/>
      <c r="BP820" s="29"/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  <c r="CE820" s="29"/>
    </row>
    <row r="821"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  <c r="BC821" s="29"/>
      <c r="BD821" s="29"/>
      <c r="BE821" s="29"/>
      <c r="BF821" s="29"/>
      <c r="BG821" s="29"/>
      <c r="BH821" s="29"/>
      <c r="BI821" s="29"/>
      <c r="BJ821" s="29"/>
      <c r="BK821" s="29"/>
      <c r="BL821" s="29"/>
      <c r="BM821" s="29"/>
      <c r="BN821" s="29"/>
      <c r="BO821" s="29"/>
      <c r="BP821" s="29"/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  <c r="CE821" s="29"/>
    </row>
    <row r="822"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  <c r="BC822" s="29"/>
      <c r="BD822" s="29"/>
      <c r="BE822" s="29"/>
      <c r="BF822" s="29"/>
      <c r="BG822" s="29"/>
      <c r="BH822" s="29"/>
      <c r="BI822" s="29"/>
      <c r="BJ822" s="29"/>
      <c r="BK822" s="29"/>
      <c r="BL822" s="29"/>
      <c r="BM822" s="29"/>
      <c r="BN822" s="29"/>
      <c r="BO822" s="29"/>
      <c r="BP822" s="29"/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  <c r="CE822" s="29"/>
    </row>
    <row r="823"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  <c r="BC823" s="29"/>
      <c r="BD823" s="29"/>
      <c r="BE823" s="29"/>
      <c r="BF823" s="29"/>
      <c r="BG823" s="29"/>
      <c r="BH823" s="29"/>
      <c r="BI823" s="29"/>
      <c r="BJ823" s="29"/>
      <c r="BK823" s="29"/>
      <c r="BL823" s="29"/>
      <c r="BM823" s="29"/>
      <c r="BN823" s="29"/>
      <c r="BO823" s="29"/>
      <c r="BP823" s="29"/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  <c r="CE823" s="29"/>
    </row>
    <row r="824"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  <c r="BC824" s="29"/>
      <c r="BD824" s="29"/>
      <c r="BE824" s="29"/>
      <c r="BF824" s="29"/>
      <c r="BG824" s="29"/>
      <c r="BH824" s="29"/>
      <c r="BI824" s="29"/>
      <c r="BJ824" s="29"/>
      <c r="BK824" s="29"/>
      <c r="BL824" s="29"/>
      <c r="BM824" s="29"/>
      <c r="BN824" s="29"/>
      <c r="BO824" s="29"/>
      <c r="BP824" s="29"/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  <c r="CE824" s="29"/>
    </row>
    <row r="825"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  <c r="BC825" s="29"/>
      <c r="BD825" s="29"/>
      <c r="BE825" s="29"/>
      <c r="BF825" s="29"/>
      <c r="BG825" s="29"/>
      <c r="BH825" s="29"/>
      <c r="BI825" s="29"/>
      <c r="BJ825" s="29"/>
      <c r="BK825" s="29"/>
      <c r="BL825" s="29"/>
      <c r="BM825" s="29"/>
      <c r="BN825" s="29"/>
      <c r="BO825" s="29"/>
      <c r="BP825" s="29"/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  <c r="CE825" s="29"/>
    </row>
    <row r="826"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  <c r="BC826" s="29"/>
      <c r="BD826" s="29"/>
      <c r="BE826" s="29"/>
      <c r="BF826" s="29"/>
      <c r="BG826" s="29"/>
      <c r="BH826" s="29"/>
      <c r="BI826" s="29"/>
      <c r="BJ826" s="29"/>
      <c r="BK826" s="29"/>
      <c r="BL826" s="29"/>
      <c r="BM826" s="29"/>
      <c r="BN826" s="29"/>
      <c r="BO826" s="29"/>
      <c r="BP826" s="29"/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  <c r="CE826" s="29"/>
    </row>
    <row r="827"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  <c r="BC827" s="29"/>
      <c r="BD827" s="29"/>
      <c r="BE827" s="29"/>
      <c r="BF827" s="29"/>
      <c r="BG827" s="29"/>
      <c r="BH827" s="29"/>
      <c r="BI827" s="29"/>
      <c r="BJ827" s="29"/>
      <c r="BK827" s="29"/>
      <c r="BL827" s="29"/>
      <c r="BM827" s="29"/>
      <c r="BN827" s="29"/>
      <c r="BO827" s="29"/>
      <c r="BP827" s="29"/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  <c r="CE827" s="29"/>
    </row>
    <row r="828"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  <c r="BC828" s="29"/>
      <c r="BD828" s="29"/>
      <c r="BE828" s="29"/>
      <c r="BF828" s="29"/>
      <c r="BG828" s="29"/>
      <c r="BH828" s="29"/>
      <c r="BI828" s="29"/>
      <c r="BJ828" s="29"/>
      <c r="BK828" s="29"/>
      <c r="BL828" s="29"/>
      <c r="BM828" s="29"/>
      <c r="BN828" s="29"/>
      <c r="BO828" s="29"/>
      <c r="BP828" s="29"/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  <c r="CE828" s="29"/>
    </row>
    <row r="829"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  <c r="BC829" s="29"/>
      <c r="BD829" s="29"/>
      <c r="BE829" s="29"/>
      <c r="BF829" s="29"/>
      <c r="BG829" s="29"/>
      <c r="BH829" s="29"/>
      <c r="BI829" s="29"/>
      <c r="BJ829" s="29"/>
      <c r="BK829" s="29"/>
      <c r="BL829" s="29"/>
      <c r="BM829" s="29"/>
      <c r="BN829" s="29"/>
      <c r="BO829" s="29"/>
      <c r="BP829" s="29"/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  <c r="CE829" s="29"/>
    </row>
    <row r="830"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  <c r="BC830" s="29"/>
      <c r="BD830" s="29"/>
      <c r="BE830" s="29"/>
      <c r="BF830" s="29"/>
      <c r="BG830" s="29"/>
      <c r="BH830" s="29"/>
      <c r="BI830" s="29"/>
      <c r="BJ830" s="29"/>
      <c r="BK830" s="29"/>
      <c r="BL830" s="29"/>
      <c r="BM830" s="29"/>
      <c r="BN830" s="29"/>
      <c r="BO830" s="29"/>
      <c r="BP830" s="29"/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  <c r="CE830" s="29"/>
    </row>
    <row r="831"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  <c r="BC831" s="29"/>
      <c r="BD831" s="29"/>
      <c r="BE831" s="29"/>
      <c r="BF831" s="29"/>
      <c r="BG831" s="29"/>
      <c r="BH831" s="29"/>
      <c r="BI831" s="29"/>
      <c r="BJ831" s="29"/>
      <c r="BK831" s="29"/>
      <c r="BL831" s="29"/>
      <c r="BM831" s="29"/>
      <c r="BN831" s="29"/>
      <c r="BO831" s="29"/>
      <c r="BP831" s="29"/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  <c r="CE831" s="29"/>
    </row>
    <row r="832"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  <c r="BC832" s="29"/>
      <c r="BD832" s="29"/>
      <c r="BE832" s="29"/>
      <c r="BF832" s="29"/>
      <c r="BG832" s="29"/>
      <c r="BH832" s="29"/>
      <c r="BI832" s="29"/>
      <c r="BJ832" s="29"/>
      <c r="BK832" s="29"/>
      <c r="BL832" s="29"/>
      <c r="BM832" s="29"/>
      <c r="BN832" s="29"/>
      <c r="BO832" s="29"/>
      <c r="BP832" s="29"/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  <c r="CE832" s="29"/>
    </row>
    <row r="833"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  <c r="BC833" s="29"/>
      <c r="BD833" s="29"/>
      <c r="BE833" s="29"/>
      <c r="BF833" s="29"/>
      <c r="BG833" s="29"/>
      <c r="BH833" s="29"/>
      <c r="BI833" s="29"/>
      <c r="BJ833" s="29"/>
      <c r="BK833" s="29"/>
      <c r="BL833" s="29"/>
      <c r="BM833" s="29"/>
      <c r="BN833" s="29"/>
      <c r="BO833" s="29"/>
      <c r="BP833" s="29"/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  <c r="CE833" s="29"/>
    </row>
    <row r="834"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  <c r="BC834" s="29"/>
      <c r="BD834" s="29"/>
      <c r="BE834" s="29"/>
      <c r="BF834" s="29"/>
      <c r="BG834" s="29"/>
      <c r="BH834" s="29"/>
      <c r="BI834" s="29"/>
      <c r="BJ834" s="29"/>
      <c r="BK834" s="29"/>
      <c r="BL834" s="29"/>
      <c r="BM834" s="29"/>
      <c r="BN834" s="29"/>
      <c r="BO834" s="29"/>
      <c r="BP834" s="29"/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  <c r="CE834" s="29"/>
    </row>
    <row r="835"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  <c r="BC835" s="29"/>
      <c r="BD835" s="29"/>
      <c r="BE835" s="29"/>
      <c r="BF835" s="29"/>
      <c r="BG835" s="29"/>
      <c r="BH835" s="29"/>
      <c r="BI835" s="29"/>
      <c r="BJ835" s="29"/>
      <c r="BK835" s="29"/>
      <c r="BL835" s="29"/>
      <c r="BM835" s="29"/>
      <c r="BN835" s="29"/>
      <c r="BO835" s="29"/>
      <c r="BP835" s="29"/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  <c r="CE835" s="29"/>
    </row>
    <row r="836"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  <c r="BC836" s="29"/>
      <c r="BD836" s="29"/>
      <c r="BE836" s="29"/>
      <c r="BF836" s="29"/>
      <c r="BG836" s="29"/>
      <c r="BH836" s="29"/>
      <c r="BI836" s="29"/>
      <c r="BJ836" s="29"/>
      <c r="BK836" s="29"/>
      <c r="BL836" s="29"/>
      <c r="BM836" s="29"/>
      <c r="BN836" s="29"/>
      <c r="BO836" s="29"/>
      <c r="BP836" s="29"/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  <c r="CE836" s="29"/>
    </row>
    <row r="837"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  <c r="BC837" s="29"/>
      <c r="BD837" s="29"/>
      <c r="BE837" s="29"/>
      <c r="BF837" s="29"/>
      <c r="BG837" s="29"/>
      <c r="BH837" s="29"/>
      <c r="BI837" s="29"/>
      <c r="BJ837" s="29"/>
      <c r="BK837" s="29"/>
      <c r="BL837" s="29"/>
      <c r="BM837" s="29"/>
      <c r="BN837" s="29"/>
      <c r="BO837" s="29"/>
      <c r="BP837" s="29"/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  <c r="CE837" s="29"/>
    </row>
    <row r="838"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  <c r="BC838" s="29"/>
      <c r="BD838" s="29"/>
      <c r="BE838" s="29"/>
      <c r="BF838" s="29"/>
      <c r="BG838" s="29"/>
      <c r="BH838" s="29"/>
      <c r="BI838" s="29"/>
      <c r="BJ838" s="29"/>
      <c r="BK838" s="29"/>
      <c r="BL838" s="29"/>
      <c r="BM838" s="29"/>
      <c r="BN838" s="29"/>
      <c r="BO838" s="29"/>
      <c r="BP838" s="29"/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  <c r="CE838" s="29"/>
    </row>
    <row r="839"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  <c r="BC839" s="29"/>
      <c r="BD839" s="29"/>
      <c r="BE839" s="29"/>
      <c r="BF839" s="29"/>
      <c r="BG839" s="29"/>
      <c r="BH839" s="29"/>
      <c r="BI839" s="29"/>
      <c r="BJ839" s="29"/>
      <c r="BK839" s="29"/>
      <c r="BL839" s="29"/>
      <c r="BM839" s="29"/>
      <c r="BN839" s="29"/>
      <c r="BO839" s="29"/>
      <c r="BP839" s="29"/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  <c r="CE839" s="29"/>
    </row>
    <row r="840"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  <c r="BC840" s="29"/>
      <c r="BD840" s="29"/>
      <c r="BE840" s="29"/>
      <c r="BF840" s="29"/>
      <c r="BG840" s="29"/>
      <c r="BH840" s="29"/>
      <c r="BI840" s="29"/>
      <c r="BJ840" s="29"/>
      <c r="BK840" s="29"/>
      <c r="BL840" s="29"/>
      <c r="BM840" s="29"/>
      <c r="BN840" s="29"/>
      <c r="BO840" s="29"/>
      <c r="BP840" s="29"/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  <c r="CE840" s="29"/>
    </row>
    <row r="841"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  <c r="BC841" s="29"/>
      <c r="BD841" s="29"/>
      <c r="BE841" s="29"/>
      <c r="BF841" s="29"/>
      <c r="BG841" s="29"/>
      <c r="BH841" s="29"/>
      <c r="BI841" s="29"/>
      <c r="BJ841" s="29"/>
      <c r="BK841" s="29"/>
      <c r="BL841" s="29"/>
      <c r="BM841" s="29"/>
      <c r="BN841" s="29"/>
      <c r="BO841" s="29"/>
      <c r="BP841" s="29"/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  <c r="CE841" s="29"/>
    </row>
    <row r="842"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  <c r="BC842" s="29"/>
      <c r="BD842" s="29"/>
      <c r="BE842" s="29"/>
      <c r="BF842" s="29"/>
      <c r="BG842" s="29"/>
      <c r="BH842" s="29"/>
      <c r="BI842" s="29"/>
      <c r="BJ842" s="29"/>
      <c r="BK842" s="29"/>
      <c r="BL842" s="29"/>
      <c r="BM842" s="29"/>
      <c r="BN842" s="29"/>
      <c r="BO842" s="29"/>
      <c r="BP842" s="29"/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  <c r="CE842" s="29"/>
    </row>
    <row r="843"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  <c r="BC843" s="29"/>
      <c r="BD843" s="29"/>
      <c r="BE843" s="29"/>
      <c r="BF843" s="29"/>
      <c r="BG843" s="29"/>
      <c r="BH843" s="29"/>
      <c r="BI843" s="29"/>
      <c r="BJ843" s="29"/>
      <c r="BK843" s="29"/>
      <c r="BL843" s="29"/>
      <c r="BM843" s="29"/>
      <c r="BN843" s="29"/>
      <c r="BO843" s="29"/>
      <c r="BP843" s="29"/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  <c r="CE843" s="29"/>
    </row>
    <row r="844"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  <c r="BC844" s="29"/>
      <c r="BD844" s="29"/>
      <c r="BE844" s="29"/>
      <c r="BF844" s="29"/>
      <c r="BG844" s="29"/>
      <c r="BH844" s="29"/>
      <c r="BI844" s="29"/>
      <c r="BJ844" s="29"/>
      <c r="BK844" s="29"/>
      <c r="BL844" s="29"/>
      <c r="BM844" s="29"/>
      <c r="BN844" s="29"/>
      <c r="BO844" s="29"/>
      <c r="BP844" s="29"/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  <c r="CE844" s="29"/>
    </row>
    <row r="845"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  <c r="BC845" s="29"/>
      <c r="BD845" s="29"/>
      <c r="BE845" s="29"/>
      <c r="BF845" s="29"/>
      <c r="BG845" s="29"/>
      <c r="BH845" s="29"/>
      <c r="BI845" s="29"/>
      <c r="BJ845" s="29"/>
      <c r="BK845" s="29"/>
      <c r="BL845" s="29"/>
      <c r="BM845" s="29"/>
      <c r="BN845" s="29"/>
      <c r="BO845" s="29"/>
      <c r="BP845" s="29"/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  <c r="CE845" s="29"/>
    </row>
    <row r="846"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  <c r="BC846" s="29"/>
      <c r="BD846" s="29"/>
      <c r="BE846" s="29"/>
      <c r="BF846" s="29"/>
      <c r="BG846" s="29"/>
      <c r="BH846" s="29"/>
      <c r="BI846" s="29"/>
      <c r="BJ846" s="29"/>
      <c r="BK846" s="29"/>
      <c r="BL846" s="29"/>
      <c r="BM846" s="29"/>
      <c r="BN846" s="29"/>
      <c r="BO846" s="29"/>
      <c r="BP846" s="29"/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  <c r="CE846" s="29"/>
    </row>
    <row r="847"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  <c r="BC847" s="29"/>
      <c r="BD847" s="29"/>
      <c r="BE847" s="29"/>
      <c r="BF847" s="29"/>
      <c r="BG847" s="29"/>
      <c r="BH847" s="29"/>
      <c r="BI847" s="29"/>
      <c r="BJ847" s="29"/>
      <c r="BK847" s="29"/>
      <c r="BL847" s="29"/>
      <c r="BM847" s="29"/>
      <c r="BN847" s="29"/>
      <c r="BO847" s="29"/>
      <c r="BP847" s="29"/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  <c r="CE847" s="29"/>
    </row>
    <row r="848"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  <c r="BC848" s="29"/>
      <c r="BD848" s="29"/>
      <c r="BE848" s="29"/>
      <c r="BF848" s="29"/>
      <c r="BG848" s="29"/>
      <c r="BH848" s="29"/>
      <c r="BI848" s="29"/>
      <c r="BJ848" s="29"/>
      <c r="BK848" s="29"/>
      <c r="BL848" s="29"/>
      <c r="BM848" s="29"/>
      <c r="BN848" s="29"/>
      <c r="BO848" s="29"/>
      <c r="BP848" s="29"/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  <c r="CE848" s="29"/>
    </row>
    <row r="849"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  <c r="BC849" s="29"/>
      <c r="BD849" s="29"/>
      <c r="BE849" s="29"/>
      <c r="BF849" s="29"/>
      <c r="BG849" s="29"/>
      <c r="BH849" s="29"/>
      <c r="BI849" s="29"/>
      <c r="BJ849" s="29"/>
      <c r="BK849" s="29"/>
      <c r="BL849" s="29"/>
      <c r="BM849" s="29"/>
      <c r="BN849" s="29"/>
      <c r="BO849" s="29"/>
      <c r="BP849" s="29"/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  <c r="CE849" s="29"/>
    </row>
    <row r="850"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  <c r="BC850" s="29"/>
      <c r="BD850" s="29"/>
      <c r="BE850" s="29"/>
      <c r="BF850" s="29"/>
      <c r="BG850" s="29"/>
      <c r="BH850" s="29"/>
      <c r="BI850" s="29"/>
      <c r="BJ850" s="29"/>
      <c r="BK850" s="29"/>
      <c r="BL850" s="29"/>
      <c r="BM850" s="29"/>
      <c r="BN850" s="29"/>
      <c r="BO850" s="29"/>
      <c r="BP850" s="29"/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  <c r="CE850" s="29"/>
    </row>
    <row r="851"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  <c r="BC851" s="29"/>
      <c r="BD851" s="29"/>
      <c r="BE851" s="29"/>
      <c r="BF851" s="29"/>
      <c r="BG851" s="29"/>
      <c r="BH851" s="29"/>
      <c r="BI851" s="29"/>
      <c r="BJ851" s="29"/>
      <c r="BK851" s="29"/>
      <c r="BL851" s="29"/>
      <c r="BM851" s="29"/>
      <c r="BN851" s="29"/>
      <c r="BO851" s="29"/>
      <c r="BP851" s="29"/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  <c r="CE851" s="29"/>
    </row>
    <row r="852"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  <c r="BC852" s="29"/>
      <c r="BD852" s="29"/>
      <c r="BE852" s="29"/>
      <c r="BF852" s="29"/>
      <c r="BG852" s="29"/>
      <c r="BH852" s="29"/>
      <c r="BI852" s="29"/>
      <c r="BJ852" s="29"/>
      <c r="BK852" s="29"/>
      <c r="BL852" s="29"/>
      <c r="BM852" s="29"/>
      <c r="BN852" s="29"/>
      <c r="BO852" s="29"/>
      <c r="BP852" s="29"/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  <c r="CE852" s="29"/>
    </row>
    <row r="853"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  <c r="BC853" s="29"/>
      <c r="BD853" s="29"/>
      <c r="BE853" s="29"/>
      <c r="BF853" s="29"/>
      <c r="BG853" s="29"/>
      <c r="BH853" s="29"/>
      <c r="BI853" s="29"/>
      <c r="BJ853" s="29"/>
      <c r="BK853" s="29"/>
      <c r="BL853" s="29"/>
      <c r="BM853" s="29"/>
      <c r="BN853" s="29"/>
      <c r="BO853" s="29"/>
      <c r="BP853" s="29"/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  <c r="CE853" s="29"/>
    </row>
    <row r="854"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  <c r="BC854" s="29"/>
      <c r="BD854" s="29"/>
      <c r="BE854" s="29"/>
      <c r="BF854" s="29"/>
      <c r="BG854" s="29"/>
      <c r="BH854" s="29"/>
      <c r="BI854" s="29"/>
      <c r="BJ854" s="29"/>
      <c r="BK854" s="29"/>
      <c r="BL854" s="29"/>
      <c r="BM854" s="29"/>
      <c r="BN854" s="29"/>
      <c r="BO854" s="29"/>
      <c r="BP854" s="29"/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  <c r="CE854" s="29"/>
    </row>
    <row r="855"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  <c r="BC855" s="29"/>
      <c r="BD855" s="29"/>
      <c r="BE855" s="29"/>
      <c r="BF855" s="29"/>
      <c r="BG855" s="29"/>
      <c r="BH855" s="29"/>
      <c r="BI855" s="29"/>
      <c r="BJ855" s="29"/>
      <c r="BK855" s="29"/>
      <c r="BL855" s="29"/>
      <c r="BM855" s="29"/>
      <c r="BN855" s="29"/>
      <c r="BO855" s="29"/>
      <c r="BP855" s="29"/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  <c r="CE855" s="29"/>
    </row>
    <row r="856"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  <c r="BC856" s="29"/>
      <c r="BD856" s="29"/>
      <c r="BE856" s="29"/>
      <c r="BF856" s="29"/>
      <c r="BG856" s="29"/>
      <c r="BH856" s="29"/>
      <c r="BI856" s="29"/>
      <c r="BJ856" s="29"/>
      <c r="BK856" s="29"/>
      <c r="BL856" s="29"/>
      <c r="BM856" s="29"/>
      <c r="BN856" s="29"/>
      <c r="BO856" s="29"/>
      <c r="BP856" s="29"/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  <c r="CE856" s="29"/>
    </row>
    <row r="857"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  <c r="BC857" s="29"/>
      <c r="BD857" s="29"/>
      <c r="BE857" s="29"/>
      <c r="BF857" s="29"/>
      <c r="BG857" s="29"/>
      <c r="BH857" s="29"/>
      <c r="BI857" s="29"/>
      <c r="BJ857" s="29"/>
      <c r="BK857" s="29"/>
      <c r="BL857" s="29"/>
      <c r="BM857" s="29"/>
      <c r="BN857" s="29"/>
      <c r="BO857" s="29"/>
      <c r="BP857" s="29"/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  <c r="CE857" s="29"/>
    </row>
    <row r="858"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  <c r="BC858" s="29"/>
      <c r="BD858" s="29"/>
      <c r="BE858" s="29"/>
      <c r="BF858" s="29"/>
      <c r="BG858" s="29"/>
      <c r="BH858" s="29"/>
      <c r="BI858" s="29"/>
      <c r="BJ858" s="29"/>
      <c r="BK858" s="29"/>
      <c r="BL858" s="29"/>
      <c r="BM858" s="29"/>
      <c r="BN858" s="29"/>
      <c r="BO858" s="29"/>
      <c r="BP858" s="29"/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  <c r="CE858" s="29"/>
    </row>
    <row r="859"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  <c r="BC859" s="29"/>
      <c r="BD859" s="29"/>
      <c r="BE859" s="29"/>
      <c r="BF859" s="29"/>
      <c r="BG859" s="29"/>
      <c r="BH859" s="29"/>
      <c r="BI859" s="29"/>
      <c r="BJ859" s="29"/>
      <c r="BK859" s="29"/>
      <c r="BL859" s="29"/>
      <c r="BM859" s="29"/>
      <c r="BN859" s="29"/>
      <c r="BO859" s="29"/>
      <c r="BP859" s="29"/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  <c r="CE859" s="29"/>
    </row>
    <row r="860"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  <c r="BC860" s="29"/>
      <c r="BD860" s="29"/>
      <c r="BE860" s="29"/>
      <c r="BF860" s="29"/>
      <c r="BG860" s="29"/>
      <c r="BH860" s="29"/>
      <c r="BI860" s="29"/>
      <c r="BJ860" s="29"/>
      <c r="BK860" s="29"/>
      <c r="BL860" s="29"/>
      <c r="BM860" s="29"/>
      <c r="BN860" s="29"/>
      <c r="BO860" s="29"/>
      <c r="BP860" s="29"/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  <c r="CE860" s="29"/>
    </row>
    <row r="861"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  <c r="BC861" s="29"/>
      <c r="BD861" s="29"/>
      <c r="BE861" s="29"/>
      <c r="BF861" s="29"/>
      <c r="BG861" s="29"/>
      <c r="BH861" s="29"/>
      <c r="BI861" s="29"/>
      <c r="BJ861" s="29"/>
      <c r="BK861" s="29"/>
      <c r="BL861" s="29"/>
      <c r="BM861" s="29"/>
      <c r="BN861" s="29"/>
      <c r="BO861" s="29"/>
      <c r="BP861" s="29"/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  <c r="CE861" s="29"/>
    </row>
    <row r="862"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  <c r="BC862" s="29"/>
      <c r="BD862" s="29"/>
      <c r="BE862" s="29"/>
      <c r="BF862" s="29"/>
      <c r="BG862" s="29"/>
      <c r="BH862" s="29"/>
      <c r="BI862" s="29"/>
      <c r="BJ862" s="29"/>
      <c r="BK862" s="29"/>
      <c r="BL862" s="29"/>
      <c r="BM862" s="29"/>
      <c r="BN862" s="29"/>
      <c r="BO862" s="29"/>
      <c r="BP862" s="29"/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  <c r="CE862" s="29"/>
    </row>
    <row r="863"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  <c r="BC863" s="29"/>
      <c r="BD863" s="29"/>
      <c r="BE863" s="29"/>
      <c r="BF863" s="29"/>
      <c r="BG863" s="29"/>
      <c r="BH863" s="29"/>
      <c r="BI863" s="29"/>
      <c r="BJ863" s="29"/>
      <c r="BK863" s="29"/>
      <c r="BL863" s="29"/>
      <c r="BM863" s="29"/>
      <c r="BN863" s="29"/>
      <c r="BO863" s="29"/>
      <c r="BP863" s="29"/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  <c r="CE863" s="29"/>
    </row>
    <row r="864"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  <c r="BC864" s="29"/>
      <c r="BD864" s="29"/>
      <c r="BE864" s="29"/>
      <c r="BF864" s="29"/>
      <c r="BG864" s="29"/>
      <c r="BH864" s="29"/>
      <c r="BI864" s="29"/>
      <c r="BJ864" s="29"/>
      <c r="BK864" s="29"/>
      <c r="BL864" s="29"/>
      <c r="BM864" s="29"/>
      <c r="BN864" s="29"/>
      <c r="BO864" s="29"/>
      <c r="BP864" s="29"/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  <c r="CE864" s="29"/>
    </row>
    <row r="865"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  <c r="BC865" s="29"/>
      <c r="BD865" s="29"/>
      <c r="BE865" s="29"/>
      <c r="BF865" s="29"/>
      <c r="BG865" s="29"/>
      <c r="BH865" s="29"/>
      <c r="BI865" s="29"/>
      <c r="BJ865" s="29"/>
      <c r="BK865" s="29"/>
      <c r="BL865" s="29"/>
      <c r="BM865" s="29"/>
      <c r="BN865" s="29"/>
      <c r="BO865" s="29"/>
      <c r="BP865" s="29"/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  <c r="CE865" s="29"/>
    </row>
    <row r="866"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  <c r="BC866" s="29"/>
      <c r="BD866" s="29"/>
      <c r="BE866" s="29"/>
      <c r="BF866" s="29"/>
      <c r="BG866" s="29"/>
      <c r="BH866" s="29"/>
      <c r="BI866" s="29"/>
      <c r="BJ866" s="29"/>
      <c r="BK866" s="29"/>
      <c r="BL866" s="29"/>
      <c r="BM866" s="29"/>
      <c r="BN866" s="29"/>
      <c r="BO866" s="29"/>
      <c r="BP866" s="29"/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  <c r="CE866" s="29"/>
    </row>
    <row r="867"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  <c r="BC867" s="29"/>
      <c r="BD867" s="29"/>
      <c r="BE867" s="29"/>
      <c r="BF867" s="29"/>
      <c r="BG867" s="29"/>
      <c r="BH867" s="29"/>
      <c r="BI867" s="29"/>
      <c r="BJ867" s="29"/>
      <c r="BK867" s="29"/>
      <c r="BL867" s="29"/>
      <c r="BM867" s="29"/>
      <c r="BN867" s="29"/>
      <c r="BO867" s="29"/>
      <c r="BP867" s="29"/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  <c r="CE867" s="29"/>
    </row>
    <row r="868"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  <c r="BC868" s="29"/>
      <c r="BD868" s="29"/>
      <c r="BE868" s="29"/>
      <c r="BF868" s="29"/>
      <c r="BG868" s="29"/>
      <c r="BH868" s="29"/>
      <c r="BI868" s="29"/>
      <c r="BJ868" s="29"/>
      <c r="BK868" s="29"/>
      <c r="BL868" s="29"/>
      <c r="BM868" s="29"/>
      <c r="BN868" s="29"/>
      <c r="BO868" s="29"/>
      <c r="BP868" s="29"/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  <c r="CE868" s="29"/>
    </row>
    <row r="869"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  <c r="BC869" s="29"/>
      <c r="BD869" s="29"/>
      <c r="BE869" s="29"/>
      <c r="BF869" s="29"/>
      <c r="BG869" s="29"/>
      <c r="BH869" s="29"/>
      <c r="BI869" s="29"/>
      <c r="BJ869" s="29"/>
      <c r="BK869" s="29"/>
      <c r="BL869" s="29"/>
      <c r="BM869" s="29"/>
      <c r="BN869" s="29"/>
      <c r="BO869" s="29"/>
      <c r="BP869" s="29"/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  <c r="CE869" s="29"/>
    </row>
    <row r="870"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  <c r="BC870" s="29"/>
      <c r="BD870" s="29"/>
      <c r="BE870" s="29"/>
      <c r="BF870" s="29"/>
      <c r="BG870" s="29"/>
      <c r="BH870" s="29"/>
      <c r="BI870" s="29"/>
      <c r="BJ870" s="29"/>
      <c r="BK870" s="29"/>
      <c r="BL870" s="29"/>
      <c r="BM870" s="29"/>
      <c r="BN870" s="29"/>
      <c r="BO870" s="29"/>
      <c r="BP870" s="29"/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  <c r="CE870" s="29"/>
    </row>
    <row r="871"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  <c r="BC871" s="29"/>
      <c r="BD871" s="29"/>
      <c r="BE871" s="29"/>
      <c r="BF871" s="29"/>
      <c r="BG871" s="29"/>
      <c r="BH871" s="29"/>
      <c r="BI871" s="29"/>
      <c r="BJ871" s="29"/>
      <c r="BK871" s="29"/>
      <c r="BL871" s="29"/>
      <c r="BM871" s="29"/>
      <c r="BN871" s="29"/>
      <c r="BO871" s="29"/>
      <c r="BP871" s="29"/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  <c r="CE871" s="29"/>
    </row>
    <row r="872"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  <c r="BC872" s="29"/>
      <c r="BD872" s="29"/>
      <c r="BE872" s="29"/>
      <c r="BF872" s="29"/>
      <c r="BG872" s="29"/>
      <c r="BH872" s="29"/>
      <c r="BI872" s="29"/>
      <c r="BJ872" s="29"/>
      <c r="BK872" s="29"/>
      <c r="BL872" s="29"/>
      <c r="BM872" s="29"/>
      <c r="BN872" s="29"/>
      <c r="BO872" s="29"/>
      <c r="BP872" s="29"/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  <c r="CE872" s="29"/>
    </row>
    <row r="873"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  <c r="BC873" s="29"/>
      <c r="BD873" s="29"/>
      <c r="BE873" s="29"/>
      <c r="BF873" s="29"/>
      <c r="BG873" s="29"/>
      <c r="BH873" s="29"/>
      <c r="BI873" s="29"/>
      <c r="BJ873" s="29"/>
      <c r="BK873" s="29"/>
      <c r="BL873" s="29"/>
      <c r="BM873" s="29"/>
      <c r="BN873" s="29"/>
      <c r="BO873" s="29"/>
      <c r="BP873" s="29"/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  <c r="CE873" s="29"/>
    </row>
    <row r="874"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  <c r="BC874" s="29"/>
      <c r="BD874" s="29"/>
      <c r="BE874" s="29"/>
      <c r="BF874" s="29"/>
      <c r="BG874" s="29"/>
      <c r="BH874" s="29"/>
      <c r="BI874" s="29"/>
      <c r="BJ874" s="29"/>
      <c r="BK874" s="29"/>
      <c r="BL874" s="29"/>
      <c r="BM874" s="29"/>
      <c r="BN874" s="29"/>
      <c r="BO874" s="29"/>
      <c r="BP874" s="29"/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  <c r="CE874" s="29"/>
    </row>
    <row r="875"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  <c r="BC875" s="29"/>
      <c r="BD875" s="29"/>
      <c r="BE875" s="29"/>
      <c r="BF875" s="29"/>
      <c r="BG875" s="29"/>
      <c r="BH875" s="29"/>
      <c r="BI875" s="29"/>
      <c r="BJ875" s="29"/>
      <c r="BK875" s="29"/>
      <c r="BL875" s="29"/>
      <c r="BM875" s="29"/>
      <c r="BN875" s="29"/>
      <c r="BO875" s="29"/>
      <c r="BP875" s="29"/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  <c r="CE875" s="29"/>
    </row>
    <row r="876"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  <c r="BC876" s="29"/>
      <c r="BD876" s="29"/>
      <c r="BE876" s="29"/>
      <c r="BF876" s="29"/>
      <c r="BG876" s="29"/>
      <c r="BH876" s="29"/>
      <c r="BI876" s="29"/>
      <c r="BJ876" s="29"/>
      <c r="BK876" s="29"/>
      <c r="BL876" s="29"/>
      <c r="BM876" s="29"/>
      <c r="BN876" s="29"/>
      <c r="BO876" s="29"/>
      <c r="BP876" s="29"/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  <c r="CE876" s="29"/>
    </row>
    <row r="877"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  <c r="BC877" s="29"/>
      <c r="BD877" s="29"/>
      <c r="BE877" s="29"/>
      <c r="BF877" s="29"/>
      <c r="BG877" s="29"/>
      <c r="BH877" s="29"/>
      <c r="BI877" s="29"/>
      <c r="BJ877" s="29"/>
      <c r="BK877" s="29"/>
      <c r="BL877" s="29"/>
      <c r="BM877" s="29"/>
      <c r="BN877" s="29"/>
      <c r="BO877" s="29"/>
      <c r="BP877" s="29"/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  <c r="CE877" s="29"/>
    </row>
    <row r="878"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  <c r="BC878" s="29"/>
      <c r="BD878" s="29"/>
      <c r="BE878" s="29"/>
      <c r="BF878" s="29"/>
      <c r="BG878" s="29"/>
      <c r="BH878" s="29"/>
      <c r="BI878" s="29"/>
      <c r="BJ878" s="29"/>
      <c r="BK878" s="29"/>
      <c r="BL878" s="29"/>
      <c r="BM878" s="29"/>
      <c r="BN878" s="29"/>
      <c r="BO878" s="29"/>
      <c r="BP878" s="29"/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  <c r="CE878" s="29"/>
    </row>
    <row r="879"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  <c r="BC879" s="29"/>
      <c r="BD879" s="29"/>
      <c r="BE879" s="29"/>
      <c r="BF879" s="29"/>
      <c r="BG879" s="29"/>
      <c r="BH879" s="29"/>
      <c r="BI879" s="29"/>
      <c r="BJ879" s="29"/>
      <c r="BK879" s="29"/>
      <c r="BL879" s="29"/>
      <c r="BM879" s="29"/>
      <c r="BN879" s="29"/>
      <c r="BO879" s="29"/>
      <c r="BP879" s="29"/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  <c r="CE879" s="29"/>
    </row>
    <row r="880"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  <c r="BC880" s="29"/>
      <c r="BD880" s="29"/>
      <c r="BE880" s="29"/>
      <c r="BF880" s="29"/>
      <c r="BG880" s="29"/>
      <c r="BH880" s="29"/>
      <c r="BI880" s="29"/>
      <c r="BJ880" s="29"/>
      <c r="BK880" s="29"/>
      <c r="BL880" s="29"/>
      <c r="BM880" s="29"/>
      <c r="BN880" s="29"/>
      <c r="BO880" s="29"/>
      <c r="BP880" s="29"/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  <c r="CE880" s="29"/>
    </row>
    <row r="881"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  <c r="BC881" s="29"/>
      <c r="BD881" s="29"/>
      <c r="BE881" s="29"/>
      <c r="BF881" s="29"/>
      <c r="BG881" s="29"/>
      <c r="BH881" s="29"/>
      <c r="BI881" s="29"/>
      <c r="BJ881" s="29"/>
      <c r="BK881" s="29"/>
      <c r="BL881" s="29"/>
      <c r="BM881" s="29"/>
      <c r="BN881" s="29"/>
      <c r="BO881" s="29"/>
      <c r="BP881" s="29"/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  <c r="CE881" s="29"/>
    </row>
    <row r="882"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  <c r="BC882" s="29"/>
      <c r="BD882" s="29"/>
      <c r="BE882" s="29"/>
      <c r="BF882" s="29"/>
      <c r="BG882" s="29"/>
      <c r="BH882" s="29"/>
      <c r="BI882" s="29"/>
      <c r="BJ882" s="29"/>
      <c r="BK882" s="29"/>
      <c r="BL882" s="29"/>
      <c r="BM882" s="29"/>
      <c r="BN882" s="29"/>
      <c r="BO882" s="29"/>
      <c r="BP882" s="29"/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  <c r="CE882" s="29"/>
    </row>
    <row r="883"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  <c r="BC883" s="29"/>
      <c r="BD883" s="29"/>
      <c r="BE883" s="29"/>
      <c r="BF883" s="29"/>
      <c r="BG883" s="29"/>
      <c r="BH883" s="29"/>
      <c r="BI883" s="29"/>
      <c r="BJ883" s="29"/>
      <c r="BK883" s="29"/>
      <c r="BL883" s="29"/>
      <c r="BM883" s="29"/>
      <c r="BN883" s="29"/>
      <c r="BO883" s="29"/>
      <c r="BP883" s="29"/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  <c r="CE883" s="29"/>
    </row>
    <row r="884"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  <c r="BC884" s="29"/>
      <c r="BD884" s="29"/>
      <c r="BE884" s="29"/>
      <c r="BF884" s="29"/>
      <c r="BG884" s="29"/>
      <c r="BH884" s="29"/>
      <c r="BI884" s="29"/>
      <c r="BJ884" s="29"/>
      <c r="BK884" s="29"/>
      <c r="BL884" s="29"/>
      <c r="BM884" s="29"/>
      <c r="BN884" s="29"/>
      <c r="BO884" s="29"/>
      <c r="BP884" s="29"/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  <c r="CE884" s="29"/>
    </row>
    <row r="885"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  <c r="BC885" s="29"/>
      <c r="BD885" s="29"/>
      <c r="BE885" s="29"/>
      <c r="BF885" s="29"/>
      <c r="BG885" s="29"/>
      <c r="BH885" s="29"/>
      <c r="BI885" s="29"/>
      <c r="BJ885" s="29"/>
      <c r="BK885" s="29"/>
      <c r="BL885" s="29"/>
      <c r="BM885" s="29"/>
      <c r="BN885" s="29"/>
      <c r="BO885" s="29"/>
      <c r="BP885" s="29"/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  <c r="CE885" s="29"/>
    </row>
    <row r="886"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  <c r="BC886" s="29"/>
      <c r="BD886" s="29"/>
      <c r="BE886" s="29"/>
      <c r="BF886" s="29"/>
      <c r="BG886" s="29"/>
      <c r="BH886" s="29"/>
      <c r="BI886" s="29"/>
      <c r="BJ886" s="29"/>
      <c r="BK886" s="29"/>
      <c r="BL886" s="29"/>
      <c r="BM886" s="29"/>
      <c r="BN886" s="29"/>
      <c r="BO886" s="29"/>
      <c r="BP886" s="29"/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  <c r="CE886" s="29"/>
    </row>
    <row r="887"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  <c r="BC887" s="29"/>
      <c r="BD887" s="29"/>
      <c r="BE887" s="29"/>
      <c r="BF887" s="29"/>
      <c r="BG887" s="29"/>
      <c r="BH887" s="29"/>
      <c r="BI887" s="29"/>
      <c r="BJ887" s="29"/>
      <c r="BK887" s="29"/>
      <c r="BL887" s="29"/>
      <c r="BM887" s="29"/>
      <c r="BN887" s="29"/>
      <c r="BO887" s="29"/>
      <c r="BP887" s="29"/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  <c r="CE887" s="29"/>
    </row>
    <row r="888"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  <c r="BC888" s="29"/>
      <c r="BD888" s="29"/>
      <c r="BE888" s="29"/>
      <c r="BF888" s="29"/>
      <c r="BG888" s="29"/>
      <c r="BH888" s="29"/>
      <c r="BI888" s="29"/>
      <c r="BJ888" s="29"/>
      <c r="BK888" s="29"/>
      <c r="BL888" s="29"/>
      <c r="BM888" s="29"/>
      <c r="BN888" s="29"/>
      <c r="BO888" s="29"/>
      <c r="BP888" s="29"/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  <c r="CE888" s="29"/>
    </row>
    <row r="889"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  <c r="BC889" s="29"/>
      <c r="BD889" s="29"/>
      <c r="BE889" s="29"/>
      <c r="BF889" s="29"/>
      <c r="BG889" s="29"/>
      <c r="BH889" s="29"/>
      <c r="BI889" s="29"/>
      <c r="BJ889" s="29"/>
      <c r="BK889" s="29"/>
      <c r="BL889" s="29"/>
      <c r="BM889" s="29"/>
      <c r="BN889" s="29"/>
      <c r="BO889" s="29"/>
      <c r="BP889" s="29"/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  <c r="CE889" s="29"/>
    </row>
    <row r="890"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  <c r="BC890" s="29"/>
      <c r="BD890" s="29"/>
      <c r="BE890" s="29"/>
      <c r="BF890" s="29"/>
      <c r="BG890" s="29"/>
      <c r="BH890" s="29"/>
      <c r="BI890" s="29"/>
      <c r="BJ890" s="29"/>
      <c r="BK890" s="29"/>
      <c r="BL890" s="29"/>
      <c r="BM890" s="29"/>
      <c r="BN890" s="29"/>
      <c r="BO890" s="29"/>
      <c r="BP890" s="29"/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  <c r="CE890" s="29"/>
    </row>
    <row r="891"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  <c r="BC891" s="29"/>
      <c r="BD891" s="29"/>
      <c r="BE891" s="29"/>
      <c r="BF891" s="29"/>
      <c r="BG891" s="29"/>
      <c r="BH891" s="29"/>
      <c r="BI891" s="29"/>
      <c r="BJ891" s="29"/>
      <c r="BK891" s="29"/>
      <c r="BL891" s="29"/>
      <c r="BM891" s="29"/>
      <c r="BN891" s="29"/>
      <c r="BO891" s="29"/>
      <c r="BP891" s="29"/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  <c r="CE891" s="29"/>
    </row>
    <row r="892"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  <c r="BC892" s="29"/>
      <c r="BD892" s="29"/>
      <c r="BE892" s="29"/>
      <c r="BF892" s="29"/>
      <c r="BG892" s="29"/>
      <c r="BH892" s="29"/>
      <c r="BI892" s="29"/>
      <c r="BJ892" s="29"/>
      <c r="BK892" s="29"/>
      <c r="BL892" s="29"/>
      <c r="BM892" s="29"/>
      <c r="BN892" s="29"/>
      <c r="BO892" s="29"/>
      <c r="BP892" s="29"/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  <c r="CE892" s="29"/>
    </row>
    <row r="893"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  <c r="BC893" s="29"/>
      <c r="BD893" s="29"/>
      <c r="BE893" s="29"/>
      <c r="BF893" s="29"/>
      <c r="BG893" s="29"/>
      <c r="BH893" s="29"/>
      <c r="BI893" s="29"/>
      <c r="BJ893" s="29"/>
      <c r="BK893" s="29"/>
      <c r="BL893" s="29"/>
      <c r="BM893" s="29"/>
      <c r="BN893" s="29"/>
      <c r="BO893" s="29"/>
      <c r="BP893" s="29"/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  <c r="CE893" s="29"/>
    </row>
    <row r="894"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  <c r="BC894" s="29"/>
      <c r="BD894" s="29"/>
      <c r="BE894" s="29"/>
      <c r="BF894" s="29"/>
      <c r="BG894" s="29"/>
      <c r="BH894" s="29"/>
      <c r="BI894" s="29"/>
      <c r="BJ894" s="29"/>
      <c r="BK894" s="29"/>
      <c r="BL894" s="29"/>
      <c r="BM894" s="29"/>
      <c r="BN894" s="29"/>
      <c r="BO894" s="29"/>
      <c r="BP894" s="29"/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  <c r="CE894" s="29"/>
    </row>
    <row r="895"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  <c r="BC895" s="29"/>
      <c r="BD895" s="29"/>
      <c r="BE895" s="29"/>
      <c r="BF895" s="29"/>
      <c r="BG895" s="29"/>
      <c r="BH895" s="29"/>
      <c r="BI895" s="29"/>
      <c r="BJ895" s="29"/>
      <c r="BK895" s="29"/>
      <c r="BL895" s="29"/>
      <c r="BM895" s="29"/>
      <c r="BN895" s="29"/>
      <c r="BO895" s="29"/>
      <c r="BP895" s="29"/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  <c r="CE895" s="29"/>
    </row>
    <row r="896"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  <c r="BC896" s="29"/>
      <c r="BD896" s="29"/>
      <c r="BE896" s="29"/>
      <c r="BF896" s="29"/>
      <c r="BG896" s="29"/>
      <c r="BH896" s="29"/>
      <c r="BI896" s="29"/>
      <c r="BJ896" s="29"/>
      <c r="BK896" s="29"/>
      <c r="BL896" s="29"/>
      <c r="BM896" s="29"/>
      <c r="BN896" s="29"/>
      <c r="BO896" s="29"/>
      <c r="BP896" s="29"/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  <c r="CE896" s="29"/>
    </row>
    <row r="897"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  <c r="BC897" s="29"/>
      <c r="BD897" s="29"/>
      <c r="BE897" s="29"/>
      <c r="BF897" s="29"/>
      <c r="BG897" s="29"/>
      <c r="BH897" s="29"/>
      <c r="BI897" s="29"/>
      <c r="BJ897" s="29"/>
      <c r="BK897" s="29"/>
      <c r="BL897" s="29"/>
      <c r="BM897" s="29"/>
      <c r="BN897" s="29"/>
      <c r="BO897" s="29"/>
      <c r="BP897" s="29"/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  <c r="CE897" s="29"/>
    </row>
    <row r="898"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  <c r="BC898" s="29"/>
      <c r="BD898" s="29"/>
      <c r="BE898" s="29"/>
      <c r="BF898" s="29"/>
      <c r="BG898" s="29"/>
      <c r="BH898" s="29"/>
      <c r="BI898" s="29"/>
      <c r="BJ898" s="29"/>
      <c r="BK898" s="29"/>
      <c r="BL898" s="29"/>
      <c r="BM898" s="29"/>
      <c r="BN898" s="29"/>
      <c r="BO898" s="29"/>
      <c r="BP898" s="29"/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  <c r="CE898" s="29"/>
    </row>
    <row r="899"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  <c r="BC899" s="29"/>
      <c r="BD899" s="29"/>
      <c r="BE899" s="29"/>
      <c r="BF899" s="29"/>
      <c r="BG899" s="29"/>
      <c r="BH899" s="29"/>
      <c r="BI899" s="29"/>
      <c r="BJ899" s="29"/>
      <c r="BK899" s="29"/>
      <c r="BL899" s="29"/>
      <c r="BM899" s="29"/>
      <c r="BN899" s="29"/>
      <c r="BO899" s="29"/>
      <c r="BP899" s="29"/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  <c r="CE899" s="29"/>
    </row>
    <row r="900"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  <c r="BC900" s="29"/>
      <c r="BD900" s="29"/>
      <c r="BE900" s="29"/>
      <c r="BF900" s="29"/>
      <c r="BG900" s="29"/>
      <c r="BH900" s="29"/>
      <c r="BI900" s="29"/>
      <c r="BJ900" s="29"/>
      <c r="BK900" s="29"/>
      <c r="BL900" s="29"/>
      <c r="BM900" s="29"/>
      <c r="BN900" s="29"/>
      <c r="BO900" s="29"/>
      <c r="BP900" s="29"/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  <c r="CE900" s="29"/>
    </row>
    <row r="901"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  <c r="BC901" s="29"/>
      <c r="BD901" s="29"/>
      <c r="BE901" s="29"/>
      <c r="BF901" s="29"/>
      <c r="BG901" s="29"/>
      <c r="BH901" s="29"/>
      <c r="BI901" s="29"/>
      <c r="BJ901" s="29"/>
      <c r="BK901" s="29"/>
      <c r="BL901" s="29"/>
      <c r="BM901" s="29"/>
      <c r="BN901" s="29"/>
      <c r="BO901" s="29"/>
      <c r="BP901" s="29"/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  <c r="CE901" s="29"/>
    </row>
    <row r="902"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  <c r="BC902" s="29"/>
      <c r="BD902" s="29"/>
      <c r="BE902" s="29"/>
      <c r="BF902" s="29"/>
      <c r="BG902" s="29"/>
      <c r="BH902" s="29"/>
      <c r="BI902" s="29"/>
      <c r="BJ902" s="29"/>
      <c r="BK902" s="29"/>
      <c r="BL902" s="29"/>
      <c r="BM902" s="29"/>
      <c r="BN902" s="29"/>
      <c r="BO902" s="29"/>
      <c r="BP902" s="29"/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  <c r="CE902" s="29"/>
    </row>
    <row r="903"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  <c r="BC903" s="29"/>
      <c r="BD903" s="29"/>
      <c r="BE903" s="29"/>
      <c r="BF903" s="29"/>
      <c r="BG903" s="29"/>
      <c r="BH903" s="29"/>
      <c r="BI903" s="29"/>
      <c r="BJ903" s="29"/>
      <c r="BK903" s="29"/>
      <c r="BL903" s="29"/>
      <c r="BM903" s="29"/>
      <c r="BN903" s="29"/>
      <c r="BO903" s="29"/>
      <c r="BP903" s="29"/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  <c r="CE903" s="29"/>
    </row>
    <row r="904"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  <c r="BC904" s="29"/>
      <c r="BD904" s="29"/>
      <c r="BE904" s="29"/>
      <c r="BF904" s="29"/>
      <c r="BG904" s="29"/>
      <c r="BH904" s="29"/>
      <c r="BI904" s="29"/>
      <c r="BJ904" s="29"/>
      <c r="BK904" s="29"/>
      <c r="BL904" s="29"/>
      <c r="BM904" s="29"/>
      <c r="BN904" s="29"/>
      <c r="BO904" s="29"/>
      <c r="BP904" s="29"/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  <c r="CE904" s="29"/>
    </row>
    <row r="905"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  <c r="BC905" s="29"/>
      <c r="BD905" s="29"/>
      <c r="BE905" s="29"/>
      <c r="BF905" s="29"/>
      <c r="BG905" s="29"/>
      <c r="BH905" s="29"/>
      <c r="BI905" s="29"/>
      <c r="BJ905" s="29"/>
      <c r="BK905" s="29"/>
      <c r="BL905" s="29"/>
      <c r="BM905" s="29"/>
      <c r="BN905" s="29"/>
      <c r="BO905" s="29"/>
      <c r="BP905" s="29"/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  <c r="CE905" s="29"/>
    </row>
    <row r="906"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  <c r="BC906" s="29"/>
      <c r="BD906" s="29"/>
      <c r="BE906" s="29"/>
      <c r="BF906" s="29"/>
      <c r="BG906" s="29"/>
      <c r="BH906" s="29"/>
      <c r="BI906" s="29"/>
      <c r="BJ906" s="29"/>
      <c r="BK906" s="29"/>
      <c r="BL906" s="29"/>
      <c r="BM906" s="29"/>
      <c r="BN906" s="29"/>
      <c r="BO906" s="29"/>
      <c r="BP906" s="29"/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  <c r="CE906" s="29"/>
    </row>
    <row r="907"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  <c r="BC907" s="29"/>
      <c r="BD907" s="29"/>
      <c r="BE907" s="29"/>
      <c r="BF907" s="29"/>
      <c r="BG907" s="29"/>
      <c r="BH907" s="29"/>
      <c r="BI907" s="29"/>
      <c r="BJ907" s="29"/>
      <c r="BK907" s="29"/>
      <c r="BL907" s="29"/>
      <c r="BM907" s="29"/>
      <c r="BN907" s="29"/>
      <c r="BO907" s="29"/>
      <c r="BP907" s="29"/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  <c r="CE907" s="29"/>
    </row>
    <row r="908"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  <c r="BC908" s="29"/>
      <c r="BD908" s="29"/>
      <c r="BE908" s="29"/>
      <c r="BF908" s="29"/>
      <c r="BG908" s="29"/>
      <c r="BH908" s="29"/>
      <c r="BI908" s="29"/>
      <c r="BJ908" s="29"/>
      <c r="BK908" s="29"/>
      <c r="BL908" s="29"/>
      <c r="BM908" s="29"/>
      <c r="BN908" s="29"/>
      <c r="BO908" s="29"/>
      <c r="BP908" s="29"/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  <c r="CE908" s="29"/>
    </row>
    <row r="909"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  <c r="BC909" s="29"/>
      <c r="BD909" s="29"/>
      <c r="BE909" s="29"/>
      <c r="BF909" s="29"/>
      <c r="BG909" s="29"/>
      <c r="BH909" s="29"/>
      <c r="BI909" s="29"/>
      <c r="BJ909" s="29"/>
      <c r="BK909" s="29"/>
      <c r="BL909" s="29"/>
      <c r="BM909" s="29"/>
      <c r="BN909" s="29"/>
      <c r="BO909" s="29"/>
      <c r="BP909" s="29"/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  <c r="CE909" s="29"/>
    </row>
    <row r="910"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  <c r="BC910" s="29"/>
      <c r="BD910" s="29"/>
      <c r="BE910" s="29"/>
      <c r="BF910" s="29"/>
      <c r="BG910" s="29"/>
      <c r="BH910" s="29"/>
      <c r="BI910" s="29"/>
      <c r="BJ910" s="29"/>
      <c r="BK910" s="29"/>
      <c r="BL910" s="29"/>
      <c r="BM910" s="29"/>
      <c r="BN910" s="29"/>
      <c r="BO910" s="29"/>
      <c r="BP910" s="29"/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  <c r="CE910" s="29"/>
    </row>
    <row r="911"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  <c r="BC911" s="29"/>
      <c r="BD911" s="29"/>
      <c r="BE911" s="29"/>
      <c r="BF911" s="29"/>
      <c r="BG911" s="29"/>
      <c r="BH911" s="29"/>
      <c r="BI911" s="29"/>
      <c r="BJ911" s="29"/>
      <c r="BK911" s="29"/>
      <c r="BL911" s="29"/>
      <c r="BM911" s="29"/>
      <c r="BN911" s="29"/>
      <c r="BO911" s="29"/>
      <c r="BP911" s="29"/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  <c r="CE911" s="29"/>
    </row>
    <row r="912"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9"/>
      <c r="BJ912" s="29"/>
      <c r="BK912" s="29"/>
      <c r="BL912" s="29"/>
      <c r="BM912" s="29"/>
      <c r="BN912" s="29"/>
      <c r="BO912" s="29"/>
      <c r="BP912" s="29"/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  <c r="CE912" s="29"/>
    </row>
    <row r="913"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  <c r="BC913" s="29"/>
      <c r="BD913" s="29"/>
      <c r="BE913" s="29"/>
      <c r="BF913" s="29"/>
      <c r="BG913" s="29"/>
      <c r="BH913" s="29"/>
      <c r="BI913" s="29"/>
      <c r="BJ913" s="29"/>
      <c r="BK913" s="29"/>
      <c r="BL913" s="29"/>
      <c r="BM913" s="29"/>
      <c r="BN913" s="29"/>
      <c r="BO913" s="29"/>
      <c r="BP913" s="29"/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  <c r="CE913" s="29"/>
    </row>
    <row r="914"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  <c r="BC914" s="29"/>
      <c r="BD914" s="29"/>
      <c r="BE914" s="29"/>
      <c r="BF914" s="29"/>
      <c r="BG914" s="29"/>
      <c r="BH914" s="29"/>
      <c r="BI914" s="29"/>
      <c r="BJ914" s="29"/>
      <c r="BK914" s="29"/>
      <c r="BL914" s="29"/>
      <c r="BM914" s="29"/>
      <c r="BN914" s="29"/>
      <c r="BO914" s="29"/>
      <c r="BP914" s="29"/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  <c r="CE914" s="29"/>
    </row>
    <row r="915"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  <c r="BC915" s="29"/>
      <c r="BD915" s="29"/>
      <c r="BE915" s="29"/>
      <c r="BF915" s="29"/>
      <c r="BG915" s="29"/>
      <c r="BH915" s="29"/>
      <c r="BI915" s="29"/>
      <c r="BJ915" s="29"/>
      <c r="BK915" s="29"/>
      <c r="BL915" s="29"/>
      <c r="BM915" s="29"/>
      <c r="BN915" s="29"/>
      <c r="BO915" s="29"/>
      <c r="BP915" s="29"/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  <c r="CE915" s="29"/>
    </row>
    <row r="916"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  <c r="BC916" s="29"/>
      <c r="BD916" s="29"/>
      <c r="BE916" s="29"/>
      <c r="BF916" s="29"/>
      <c r="BG916" s="29"/>
      <c r="BH916" s="29"/>
      <c r="BI916" s="29"/>
      <c r="BJ916" s="29"/>
      <c r="BK916" s="29"/>
      <c r="BL916" s="29"/>
      <c r="BM916" s="29"/>
      <c r="BN916" s="29"/>
      <c r="BO916" s="29"/>
      <c r="BP916" s="29"/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  <c r="CE916" s="29"/>
    </row>
    <row r="917"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  <c r="BC917" s="29"/>
      <c r="BD917" s="29"/>
      <c r="BE917" s="29"/>
      <c r="BF917" s="29"/>
      <c r="BG917" s="29"/>
      <c r="BH917" s="29"/>
      <c r="BI917" s="29"/>
      <c r="BJ917" s="29"/>
      <c r="BK917" s="29"/>
      <c r="BL917" s="29"/>
      <c r="BM917" s="29"/>
      <c r="BN917" s="29"/>
      <c r="BO917" s="29"/>
      <c r="BP917" s="29"/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  <c r="CE917" s="29"/>
    </row>
    <row r="918"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  <c r="BC918" s="29"/>
      <c r="BD918" s="29"/>
      <c r="BE918" s="29"/>
      <c r="BF918" s="29"/>
      <c r="BG918" s="29"/>
      <c r="BH918" s="29"/>
      <c r="BI918" s="29"/>
      <c r="BJ918" s="29"/>
      <c r="BK918" s="29"/>
      <c r="BL918" s="29"/>
      <c r="BM918" s="29"/>
      <c r="BN918" s="29"/>
      <c r="BO918" s="29"/>
      <c r="BP918" s="29"/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  <c r="CE918" s="29"/>
    </row>
    <row r="919"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  <c r="BC919" s="29"/>
      <c r="BD919" s="29"/>
      <c r="BE919" s="29"/>
      <c r="BF919" s="29"/>
      <c r="BG919" s="29"/>
      <c r="BH919" s="29"/>
      <c r="BI919" s="29"/>
      <c r="BJ919" s="29"/>
      <c r="BK919" s="29"/>
      <c r="BL919" s="29"/>
      <c r="BM919" s="29"/>
      <c r="BN919" s="29"/>
      <c r="BO919" s="29"/>
      <c r="BP919" s="29"/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  <c r="CE919" s="29"/>
    </row>
    <row r="920"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  <c r="BC920" s="29"/>
      <c r="BD920" s="29"/>
      <c r="BE920" s="29"/>
      <c r="BF920" s="29"/>
      <c r="BG920" s="29"/>
      <c r="BH920" s="29"/>
      <c r="BI920" s="29"/>
      <c r="BJ920" s="29"/>
      <c r="BK920" s="29"/>
      <c r="BL920" s="29"/>
      <c r="BM920" s="29"/>
      <c r="BN920" s="29"/>
      <c r="BO920" s="29"/>
      <c r="BP920" s="29"/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  <c r="CE920" s="29"/>
    </row>
    <row r="921"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  <c r="BC921" s="29"/>
      <c r="BD921" s="29"/>
      <c r="BE921" s="29"/>
      <c r="BF921" s="29"/>
      <c r="BG921" s="29"/>
      <c r="BH921" s="29"/>
      <c r="BI921" s="29"/>
      <c r="BJ921" s="29"/>
      <c r="BK921" s="29"/>
      <c r="BL921" s="29"/>
      <c r="BM921" s="29"/>
      <c r="BN921" s="29"/>
      <c r="BO921" s="29"/>
      <c r="BP921" s="29"/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  <c r="CE921" s="29"/>
    </row>
    <row r="922"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  <c r="BC922" s="29"/>
      <c r="BD922" s="29"/>
      <c r="BE922" s="29"/>
      <c r="BF922" s="29"/>
      <c r="BG922" s="29"/>
      <c r="BH922" s="29"/>
      <c r="BI922" s="29"/>
      <c r="BJ922" s="29"/>
      <c r="BK922" s="29"/>
      <c r="BL922" s="29"/>
      <c r="BM922" s="29"/>
      <c r="BN922" s="29"/>
      <c r="BO922" s="29"/>
      <c r="BP922" s="29"/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  <c r="CE922" s="29"/>
    </row>
    <row r="923"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  <c r="BC923" s="29"/>
      <c r="BD923" s="29"/>
      <c r="BE923" s="29"/>
      <c r="BF923" s="29"/>
      <c r="BG923" s="29"/>
      <c r="BH923" s="29"/>
      <c r="BI923" s="29"/>
      <c r="BJ923" s="29"/>
      <c r="BK923" s="29"/>
      <c r="BL923" s="29"/>
      <c r="BM923" s="29"/>
      <c r="BN923" s="29"/>
      <c r="BO923" s="29"/>
      <c r="BP923" s="29"/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  <c r="CE923" s="29"/>
    </row>
    <row r="924"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  <c r="BC924" s="29"/>
      <c r="BD924" s="29"/>
      <c r="BE924" s="29"/>
      <c r="BF924" s="29"/>
      <c r="BG924" s="29"/>
      <c r="BH924" s="29"/>
      <c r="BI924" s="29"/>
      <c r="BJ924" s="29"/>
      <c r="BK924" s="29"/>
      <c r="BL924" s="29"/>
      <c r="BM924" s="29"/>
      <c r="BN924" s="29"/>
      <c r="BO924" s="29"/>
      <c r="BP924" s="29"/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  <c r="CE924" s="29"/>
    </row>
    <row r="925"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  <c r="BC925" s="29"/>
      <c r="BD925" s="29"/>
      <c r="BE925" s="29"/>
      <c r="BF925" s="29"/>
      <c r="BG925" s="29"/>
      <c r="BH925" s="29"/>
      <c r="BI925" s="29"/>
      <c r="BJ925" s="29"/>
      <c r="BK925" s="29"/>
      <c r="BL925" s="29"/>
      <c r="BM925" s="29"/>
      <c r="BN925" s="29"/>
      <c r="BO925" s="29"/>
      <c r="BP925" s="29"/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  <c r="CE925" s="29"/>
    </row>
    <row r="926"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  <c r="BC926" s="29"/>
      <c r="BD926" s="29"/>
      <c r="BE926" s="29"/>
      <c r="BF926" s="29"/>
      <c r="BG926" s="29"/>
      <c r="BH926" s="29"/>
      <c r="BI926" s="29"/>
      <c r="BJ926" s="29"/>
      <c r="BK926" s="29"/>
      <c r="BL926" s="29"/>
      <c r="BM926" s="29"/>
      <c r="BN926" s="29"/>
      <c r="BO926" s="29"/>
      <c r="BP926" s="29"/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  <c r="CE926" s="29"/>
    </row>
    <row r="927"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  <c r="BC927" s="29"/>
      <c r="BD927" s="29"/>
      <c r="BE927" s="29"/>
      <c r="BF927" s="29"/>
      <c r="BG927" s="29"/>
      <c r="BH927" s="29"/>
      <c r="BI927" s="29"/>
      <c r="BJ927" s="29"/>
      <c r="BK927" s="29"/>
      <c r="BL927" s="29"/>
      <c r="BM927" s="29"/>
      <c r="BN927" s="29"/>
      <c r="BO927" s="29"/>
      <c r="BP927" s="29"/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  <c r="CE927" s="29"/>
    </row>
    <row r="928"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  <c r="BC928" s="29"/>
      <c r="BD928" s="29"/>
      <c r="BE928" s="29"/>
      <c r="BF928" s="29"/>
      <c r="BG928" s="29"/>
      <c r="BH928" s="29"/>
      <c r="BI928" s="29"/>
      <c r="BJ928" s="29"/>
      <c r="BK928" s="29"/>
      <c r="BL928" s="29"/>
      <c r="BM928" s="29"/>
      <c r="BN928" s="29"/>
      <c r="BO928" s="29"/>
      <c r="BP928" s="29"/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  <c r="CE928" s="29"/>
    </row>
    <row r="929"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  <c r="BC929" s="29"/>
      <c r="BD929" s="29"/>
      <c r="BE929" s="29"/>
      <c r="BF929" s="29"/>
      <c r="BG929" s="29"/>
      <c r="BH929" s="29"/>
      <c r="BI929" s="29"/>
      <c r="BJ929" s="29"/>
      <c r="BK929" s="29"/>
      <c r="BL929" s="29"/>
      <c r="BM929" s="29"/>
      <c r="BN929" s="29"/>
      <c r="BO929" s="29"/>
      <c r="BP929" s="29"/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  <c r="CE929" s="29"/>
    </row>
    <row r="930"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  <c r="BC930" s="29"/>
      <c r="BD930" s="29"/>
      <c r="BE930" s="29"/>
      <c r="BF930" s="29"/>
      <c r="BG930" s="29"/>
      <c r="BH930" s="29"/>
      <c r="BI930" s="29"/>
      <c r="BJ930" s="29"/>
      <c r="BK930" s="29"/>
      <c r="BL930" s="29"/>
      <c r="BM930" s="29"/>
      <c r="BN930" s="29"/>
      <c r="BO930" s="29"/>
      <c r="BP930" s="29"/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  <c r="CE930" s="29"/>
    </row>
    <row r="931"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29"/>
      <c r="BF931" s="29"/>
      <c r="BG931" s="29"/>
      <c r="BH931" s="29"/>
      <c r="BI931" s="29"/>
      <c r="BJ931" s="29"/>
      <c r="BK931" s="29"/>
      <c r="BL931" s="29"/>
      <c r="BM931" s="29"/>
      <c r="BN931" s="29"/>
      <c r="BO931" s="29"/>
      <c r="BP931" s="29"/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  <c r="CE931" s="29"/>
    </row>
    <row r="932"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  <c r="BC932" s="29"/>
      <c r="BD932" s="29"/>
      <c r="BE932" s="29"/>
      <c r="BF932" s="29"/>
      <c r="BG932" s="29"/>
      <c r="BH932" s="29"/>
      <c r="BI932" s="29"/>
      <c r="BJ932" s="29"/>
      <c r="BK932" s="29"/>
      <c r="BL932" s="29"/>
      <c r="BM932" s="29"/>
      <c r="BN932" s="29"/>
      <c r="BO932" s="29"/>
      <c r="BP932" s="29"/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  <c r="CE932" s="29"/>
    </row>
    <row r="933"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  <c r="BC933" s="29"/>
      <c r="BD933" s="29"/>
      <c r="BE933" s="29"/>
      <c r="BF933" s="29"/>
      <c r="BG933" s="29"/>
      <c r="BH933" s="29"/>
      <c r="BI933" s="29"/>
      <c r="BJ933" s="29"/>
      <c r="BK933" s="29"/>
      <c r="BL933" s="29"/>
      <c r="BM933" s="29"/>
      <c r="BN933" s="29"/>
      <c r="BO933" s="29"/>
      <c r="BP933" s="29"/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  <c r="CE933" s="29"/>
    </row>
    <row r="934"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  <c r="BC934" s="29"/>
      <c r="BD934" s="29"/>
      <c r="BE934" s="29"/>
      <c r="BF934" s="29"/>
      <c r="BG934" s="29"/>
      <c r="BH934" s="29"/>
      <c r="BI934" s="29"/>
      <c r="BJ934" s="29"/>
      <c r="BK934" s="29"/>
      <c r="BL934" s="29"/>
      <c r="BM934" s="29"/>
      <c r="BN934" s="29"/>
      <c r="BO934" s="29"/>
      <c r="BP934" s="29"/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  <c r="CE934" s="29"/>
    </row>
    <row r="935"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  <c r="BC935" s="29"/>
      <c r="BD935" s="29"/>
      <c r="BE935" s="29"/>
      <c r="BF935" s="29"/>
      <c r="BG935" s="29"/>
      <c r="BH935" s="29"/>
      <c r="BI935" s="29"/>
      <c r="BJ935" s="29"/>
      <c r="BK935" s="29"/>
      <c r="BL935" s="29"/>
      <c r="BM935" s="29"/>
      <c r="BN935" s="29"/>
      <c r="BO935" s="29"/>
      <c r="BP935" s="29"/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  <c r="CE935" s="29"/>
    </row>
    <row r="936"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  <c r="BC936" s="29"/>
      <c r="BD936" s="29"/>
      <c r="BE936" s="29"/>
      <c r="BF936" s="29"/>
      <c r="BG936" s="29"/>
      <c r="BH936" s="29"/>
      <c r="BI936" s="29"/>
      <c r="BJ936" s="29"/>
      <c r="BK936" s="29"/>
      <c r="BL936" s="29"/>
      <c r="BM936" s="29"/>
      <c r="BN936" s="29"/>
      <c r="BO936" s="29"/>
      <c r="BP936" s="29"/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  <c r="CE936" s="29"/>
    </row>
    <row r="937"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  <c r="BC937" s="29"/>
      <c r="BD937" s="29"/>
      <c r="BE937" s="29"/>
      <c r="BF937" s="29"/>
      <c r="BG937" s="29"/>
      <c r="BH937" s="29"/>
      <c r="BI937" s="29"/>
      <c r="BJ937" s="29"/>
      <c r="BK937" s="29"/>
      <c r="BL937" s="29"/>
      <c r="BM937" s="29"/>
      <c r="BN937" s="29"/>
      <c r="BO937" s="29"/>
      <c r="BP937" s="29"/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  <c r="CE937" s="29"/>
    </row>
    <row r="938"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  <c r="BC938" s="29"/>
      <c r="BD938" s="29"/>
      <c r="BE938" s="29"/>
      <c r="BF938" s="29"/>
      <c r="BG938" s="29"/>
      <c r="BH938" s="29"/>
      <c r="BI938" s="29"/>
      <c r="BJ938" s="29"/>
      <c r="BK938" s="29"/>
      <c r="BL938" s="29"/>
      <c r="BM938" s="29"/>
      <c r="BN938" s="29"/>
      <c r="BO938" s="29"/>
      <c r="BP938" s="29"/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  <c r="CE938" s="29"/>
    </row>
    <row r="939"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29"/>
      <c r="BF939" s="29"/>
      <c r="BG939" s="29"/>
      <c r="BH939" s="29"/>
      <c r="BI939" s="29"/>
      <c r="BJ939" s="29"/>
      <c r="BK939" s="29"/>
      <c r="BL939" s="29"/>
      <c r="BM939" s="29"/>
      <c r="BN939" s="29"/>
      <c r="BO939" s="29"/>
      <c r="BP939" s="29"/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  <c r="CE939" s="29"/>
    </row>
    <row r="940"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  <c r="BC940" s="29"/>
      <c r="BD940" s="29"/>
      <c r="BE940" s="29"/>
      <c r="BF940" s="29"/>
      <c r="BG940" s="29"/>
      <c r="BH940" s="29"/>
      <c r="BI940" s="29"/>
      <c r="BJ940" s="29"/>
      <c r="BK940" s="29"/>
      <c r="BL940" s="29"/>
      <c r="BM940" s="29"/>
      <c r="BN940" s="29"/>
      <c r="BO940" s="29"/>
      <c r="BP940" s="29"/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  <c r="CE940" s="29"/>
    </row>
    <row r="941"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  <c r="BC941" s="29"/>
      <c r="BD941" s="29"/>
      <c r="BE941" s="29"/>
      <c r="BF941" s="29"/>
      <c r="BG941" s="29"/>
      <c r="BH941" s="29"/>
      <c r="BI941" s="29"/>
      <c r="BJ941" s="29"/>
      <c r="BK941" s="29"/>
      <c r="BL941" s="29"/>
      <c r="BM941" s="29"/>
      <c r="BN941" s="29"/>
      <c r="BO941" s="29"/>
      <c r="BP941" s="29"/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  <c r="CE941" s="29"/>
    </row>
    <row r="942"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  <c r="BC942" s="29"/>
      <c r="BD942" s="29"/>
      <c r="BE942" s="29"/>
      <c r="BF942" s="29"/>
      <c r="BG942" s="29"/>
      <c r="BH942" s="29"/>
      <c r="BI942" s="29"/>
      <c r="BJ942" s="29"/>
      <c r="BK942" s="29"/>
      <c r="BL942" s="29"/>
      <c r="BM942" s="29"/>
      <c r="BN942" s="29"/>
      <c r="BO942" s="29"/>
      <c r="BP942" s="29"/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  <c r="CE942" s="29"/>
    </row>
    <row r="943"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  <c r="BC943" s="29"/>
      <c r="BD943" s="29"/>
      <c r="BE943" s="29"/>
      <c r="BF943" s="29"/>
      <c r="BG943" s="29"/>
      <c r="BH943" s="29"/>
      <c r="BI943" s="29"/>
      <c r="BJ943" s="29"/>
      <c r="BK943" s="29"/>
      <c r="BL943" s="29"/>
      <c r="BM943" s="29"/>
      <c r="BN943" s="29"/>
      <c r="BO943" s="29"/>
      <c r="BP943" s="29"/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  <c r="CE943" s="29"/>
    </row>
    <row r="944"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  <c r="BC944" s="29"/>
      <c r="BD944" s="29"/>
      <c r="BE944" s="29"/>
      <c r="BF944" s="29"/>
      <c r="BG944" s="29"/>
      <c r="BH944" s="29"/>
      <c r="BI944" s="29"/>
      <c r="BJ944" s="29"/>
      <c r="BK944" s="29"/>
      <c r="BL944" s="29"/>
      <c r="BM944" s="29"/>
      <c r="BN944" s="29"/>
      <c r="BO944" s="29"/>
      <c r="BP944" s="29"/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  <c r="CE944" s="29"/>
    </row>
    <row r="945"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  <c r="BC945" s="29"/>
      <c r="BD945" s="29"/>
      <c r="BE945" s="29"/>
      <c r="BF945" s="29"/>
      <c r="BG945" s="29"/>
      <c r="BH945" s="29"/>
      <c r="BI945" s="29"/>
      <c r="BJ945" s="29"/>
      <c r="BK945" s="29"/>
      <c r="BL945" s="29"/>
      <c r="BM945" s="29"/>
      <c r="BN945" s="29"/>
      <c r="BO945" s="29"/>
      <c r="BP945" s="29"/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  <c r="CE945" s="29"/>
    </row>
    <row r="946"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  <c r="BC946" s="29"/>
      <c r="BD946" s="29"/>
      <c r="BE946" s="29"/>
      <c r="BF946" s="29"/>
      <c r="BG946" s="29"/>
      <c r="BH946" s="29"/>
      <c r="BI946" s="29"/>
      <c r="BJ946" s="29"/>
      <c r="BK946" s="29"/>
      <c r="BL946" s="29"/>
      <c r="BM946" s="29"/>
      <c r="BN946" s="29"/>
      <c r="BO946" s="29"/>
      <c r="BP946" s="29"/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  <c r="CE946" s="29"/>
    </row>
    <row r="947"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  <c r="BC947" s="29"/>
      <c r="BD947" s="29"/>
      <c r="BE947" s="29"/>
      <c r="BF947" s="29"/>
      <c r="BG947" s="29"/>
      <c r="BH947" s="29"/>
      <c r="BI947" s="29"/>
      <c r="BJ947" s="29"/>
      <c r="BK947" s="29"/>
      <c r="BL947" s="29"/>
      <c r="BM947" s="29"/>
      <c r="BN947" s="29"/>
      <c r="BO947" s="29"/>
      <c r="BP947" s="29"/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  <c r="CE947" s="29"/>
    </row>
    <row r="948"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  <c r="BC948" s="29"/>
      <c r="BD948" s="29"/>
      <c r="BE948" s="29"/>
      <c r="BF948" s="29"/>
      <c r="BG948" s="29"/>
      <c r="BH948" s="29"/>
      <c r="BI948" s="29"/>
      <c r="BJ948" s="29"/>
      <c r="BK948" s="29"/>
      <c r="BL948" s="29"/>
      <c r="BM948" s="29"/>
      <c r="BN948" s="29"/>
      <c r="BO948" s="29"/>
      <c r="BP948" s="29"/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  <c r="CE948" s="29"/>
    </row>
    <row r="949"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  <c r="BC949" s="29"/>
      <c r="BD949" s="29"/>
      <c r="BE949" s="29"/>
      <c r="BF949" s="29"/>
      <c r="BG949" s="29"/>
      <c r="BH949" s="29"/>
      <c r="BI949" s="29"/>
      <c r="BJ949" s="29"/>
      <c r="BK949" s="29"/>
      <c r="BL949" s="29"/>
      <c r="BM949" s="29"/>
      <c r="BN949" s="29"/>
      <c r="BO949" s="29"/>
      <c r="BP949" s="29"/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  <c r="CE949" s="29"/>
    </row>
    <row r="950"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  <c r="BC950" s="29"/>
      <c r="BD950" s="29"/>
      <c r="BE950" s="29"/>
      <c r="BF950" s="29"/>
      <c r="BG950" s="29"/>
      <c r="BH950" s="29"/>
      <c r="BI950" s="29"/>
      <c r="BJ950" s="29"/>
      <c r="BK950" s="29"/>
      <c r="BL950" s="29"/>
      <c r="BM950" s="29"/>
      <c r="BN950" s="29"/>
      <c r="BO950" s="29"/>
      <c r="BP950" s="29"/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  <c r="CE950" s="29"/>
    </row>
    <row r="951"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  <c r="BC951" s="29"/>
      <c r="BD951" s="29"/>
      <c r="BE951" s="29"/>
      <c r="BF951" s="29"/>
      <c r="BG951" s="29"/>
      <c r="BH951" s="29"/>
      <c r="BI951" s="29"/>
      <c r="BJ951" s="29"/>
      <c r="BK951" s="29"/>
      <c r="BL951" s="29"/>
      <c r="BM951" s="29"/>
      <c r="BN951" s="29"/>
      <c r="BO951" s="29"/>
      <c r="BP951" s="29"/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  <c r="CE951" s="29"/>
    </row>
    <row r="952"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  <c r="BC952" s="29"/>
      <c r="BD952" s="29"/>
      <c r="BE952" s="29"/>
      <c r="BF952" s="29"/>
      <c r="BG952" s="29"/>
      <c r="BH952" s="29"/>
      <c r="BI952" s="29"/>
      <c r="BJ952" s="29"/>
      <c r="BK952" s="29"/>
      <c r="BL952" s="29"/>
      <c r="BM952" s="29"/>
      <c r="BN952" s="29"/>
      <c r="BO952" s="29"/>
      <c r="BP952" s="29"/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  <c r="CE952" s="29"/>
    </row>
    <row r="953"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  <c r="BC953" s="29"/>
      <c r="BD953" s="29"/>
      <c r="BE953" s="29"/>
      <c r="BF953" s="29"/>
      <c r="BG953" s="29"/>
      <c r="BH953" s="29"/>
      <c r="BI953" s="29"/>
      <c r="BJ953" s="29"/>
      <c r="BK953" s="29"/>
      <c r="BL953" s="29"/>
      <c r="BM953" s="29"/>
      <c r="BN953" s="29"/>
      <c r="BO953" s="29"/>
      <c r="BP953" s="29"/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  <c r="CE953" s="29"/>
    </row>
    <row r="954"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  <c r="BC954" s="29"/>
      <c r="BD954" s="29"/>
      <c r="BE954" s="29"/>
      <c r="BF954" s="29"/>
      <c r="BG954" s="29"/>
      <c r="BH954" s="29"/>
      <c r="BI954" s="29"/>
      <c r="BJ954" s="29"/>
      <c r="BK954" s="29"/>
      <c r="BL954" s="29"/>
      <c r="BM954" s="29"/>
      <c r="BN954" s="29"/>
      <c r="BO954" s="29"/>
      <c r="BP954" s="29"/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  <c r="CE954" s="29"/>
    </row>
    <row r="955"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  <c r="BC955" s="29"/>
      <c r="BD955" s="29"/>
      <c r="BE955" s="29"/>
      <c r="BF955" s="29"/>
      <c r="BG955" s="29"/>
      <c r="BH955" s="29"/>
      <c r="BI955" s="29"/>
      <c r="BJ955" s="29"/>
      <c r="BK955" s="29"/>
      <c r="BL955" s="29"/>
      <c r="BM955" s="29"/>
      <c r="BN955" s="29"/>
      <c r="BO955" s="29"/>
      <c r="BP955" s="29"/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  <c r="CE955" s="29"/>
    </row>
    <row r="956"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29"/>
      <c r="BF956" s="29"/>
      <c r="BG956" s="29"/>
      <c r="BH956" s="29"/>
      <c r="BI956" s="29"/>
      <c r="BJ956" s="29"/>
      <c r="BK956" s="29"/>
      <c r="BL956" s="29"/>
      <c r="BM956" s="29"/>
      <c r="BN956" s="29"/>
      <c r="BO956" s="29"/>
      <c r="BP956" s="29"/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  <c r="CE956" s="29"/>
    </row>
    <row r="957"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  <c r="BC957" s="29"/>
      <c r="BD957" s="29"/>
      <c r="BE957" s="29"/>
      <c r="BF957" s="29"/>
      <c r="BG957" s="29"/>
      <c r="BH957" s="29"/>
      <c r="BI957" s="29"/>
      <c r="BJ957" s="29"/>
      <c r="BK957" s="29"/>
      <c r="BL957" s="29"/>
      <c r="BM957" s="29"/>
      <c r="BN957" s="29"/>
      <c r="BO957" s="29"/>
      <c r="BP957" s="29"/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  <c r="CE957" s="29"/>
    </row>
    <row r="958"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  <c r="BC958" s="29"/>
      <c r="BD958" s="29"/>
      <c r="BE958" s="29"/>
      <c r="BF958" s="29"/>
      <c r="BG958" s="29"/>
      <c r="BH958" s="29"/>
      <c r="BI958" s="29"/>
      <c r="BJ958" s="29"/>
      <c r="BK958" s="29"/>
      <c r="BL958" s="29"/>
      <c r="BM958" s="29"/>
      <c r="BN958" s="29"/>
      <c r="BO958" s="29"/>
      <c r="BP958" s="29"/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  <c r="CE958" s="29"/>
    </row>
    <row r="959"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  <c r="BC959" s="29"/>
      <c r="BD959" s="29"/>
      <c r="BE959" s="29"/>
      <c r="BF959" s="29"/>
      <c r="BG959" s="29"/>
      <c r="BH959" s="29"/>
      <c r="BI959" s="29"/>
      <c r="BJ959" s="29"/>
      <c r="BK959" s="29"/>
      <c r="BL959" s="29"/>
      <c r="BM959" s="29"/>
      <c r="BN959" s="29"/>
      <c r="BO959" s="29"/>
      <c r="BP959" s="29"/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  <c r="CE959" s="29"/>
    </row>
    <row r="960"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  <c r="BC960" s="29"/>
      <c r="BD960" s="29"/>
      <c r="BE960" s="29"/>
      <c r="BF960" s="29"/>
      <c r="BG960" s="29"/>
      <c r="BH960" s="29"/>
      <c r="BI960" s="29"/>
      <c r="BJ960" s="29"/>
      <c r="BK960" s="29"/>
      <c r="BL960" s="29"/>
      <c r="BM960" s="29"/>
      <c r="BN960" s="29"/>
      <c r="BO960" s="29"/>
      <c r="BP960" s="29"/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  <c r="CE960" s="29"/>
    </row>
    <row r="961"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  <c r="BC961" s="29"/>
      <c r="BD961" s="29"/>
      <c r="BE961" s="29"/>
      <c r="BF961" s="29"/>
      <c r="BG961" s="29"/>
      <c r="BH961" s="29"/>
      <c r="BI961" s="29"/>
      <c r="BJ961" s="29"/>
      <c r="BK961" s="29"/>
      <c r="BL961" s="29"/>
      <c r="BM961" s="29"/>
      <c r="BN961" s="29"/>
      <c r="BO961" s="29"/>
      <c r="BP961" s="29"/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  <c r="CE961" s="29"/>
    </row>
    <row r="962"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  <c r="BC962" s="29"/>
      <c r="BD962" s="29"/>
      <c r="BE962" s="29"/>
      <c r="BF962" s="29"/>
      <c r="BG962" s="29"/>
      <c r="BH962" s="29"/>
      <c r="BI962" s="29"/>
      <c r="BJ962" s="29"/>
      <c r="BK962" s="29"/>
      <c r="BL962" s="29"/>
      <c r="BM962" s="29"/>
      <c r="BN962" s="29"/>
      <c r="BO962" s="29"/>
      <c r="BP962" s="29"/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  <c r="CE962" s="29"/>
    </row>
    <row r="963"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  <c r="BC963" s="29"/>
      <c r="BD963" s="29"/>
      <c r="BE963" s="29"/>
      <c r="BF963" s="29"/>
      <c r="BG963" s="29"/>
      <c r="BH963" s="29"/>
      <c r="BI963" s="29"/>
      <c r="BJ963" s="29"/>
      <c r="BK963" s="29"/>
      <c r="BL963" s="29"/>
      <c r="BM963" s="29"/>
      <c r="BN963" s="29"/>
      <c r="BO963" s="29"/>
      <c r="BP963" s="29"/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  <c r="CE963" s="29"/>
    </row>
    <row r="964"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  <c r="BC964" s="29"/>
      <c r="BD964" s="29"/>
      <c r="BE964" s="29"/>
      <c r="BF964" s="29"/>
      <c r="BG964" s="29"/>
      <c r="BH964" s="29"/>
      <c r="BI964" s="29"/>
      <c r="BJ964" s="29"/>
      <c r="BK964" s="29"/>
      <c r="BL964" s="29"/>
      <c r="BM964" s="29"/>
      <c r="BN964" s="29"/>
      <c r="BO964" s="29"/>
      <c r="BP964" s="29"/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  <c r="CE964" s="29"/>
    </row>
    <row r="965"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  <c r="BC965" s="29"/>
      <c r="BD965" s="29"/>
      <c r="BE965" s="29"/>
      <c r="BF965" s="29"/>
      <c r="BG965" s="29"/>
      <c r="BH965" s="29"/>
      <c r="BI965" s="29"/>
      <c r="BJ965" s="29"/>
      <c r="BK965" s="29"/>
      <c r="BL965" s="29"/>
      <c r="BM965" s="29"/>
      <c r="BN965" s="29"/>
      <c r="BO965" s="29"/>
      <c r="BP965" s="29"/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  <c r="CE965" s="29"/>
    </row>
    <row r="966"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  <c r="BC966" s="29"/>
      <c r="BD966" s="29"/>
      <c r="BE966" s="29"/>
      <c r="BF966" s="29"/>
      <c r="BG966" s="29"/>
      <c r="BH966" s="29"/>
      <c r="BI966" s="29"/>
      <c r="BJ966" s="29"/>
      <c r="BK966" s="29"/>
      <c r="BL966" s="29"/>
      <c r="BM966" s="29"/>
      <c r="BN966" s="29"/>
      <c r="BO966" s="29"/>
      <c r="BP966" s="29"/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  <c r="CE966" s="29"/>
    </row>
    <row r="967"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  <c r="BC967" s="29"/>
      <c r="BD967" s="29"/>
      <c r="BE967" s="29"/>
      <c r="BF967" s="29"/>
      <c r="BG967" s="29"/>
      <c r="BH967" s="29"/>
      <c r="BI967" s="29"/>
      <c r="BJ967" s="29"/>
      <c r="BK967" s="29"/>
      <c r="BL967" s="29"/>
      <c r="BM967" s="29"/>
      <c r="BN967" s="29"/>
      <c r="BO967" s="29"/>
      <c r="BP967" s="29"/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  <c r="CE967" s="29"/>
    </row>
    <row r="968"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  <c r="BC968" s="29"/>
      <c r="BD968" s="29"/>
      <c r="BE968" s="29"/>
      <c r="BF968" s="29"/>
      <c r="BG968" s="29"/>
      <c r="BH968" s="29"/>
      <c r="BI968" s="29"/>
      <c r="BJ968" s="29"/>
      <c r="BK968" s="29"/>
      <c r="BL968" s="29"/>
      <c r="BM968" s="29"/>
      <c r="BN968" s="29"/>
      <c r="BO968" s="29"/>
      <c r="BP968" s="29"/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  <c r="CE968" s="29"/>
    </row>
    <row r="969"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  <c r="BC969" s="29"/>
      <c r="BD969" s="29"/>
      <c r="BE969" s="29"/>
      <c r="BF969" s="29"/>
      <c r="BG969" s="29"/>
      <c r="BH969" s="29"/>
      <c r="BI969" s="29"/>
      <c r="BJ969" s="29"/>
      <c r="BK969" s="29"/>
      <c r="BL969" s="29"/>
      <c r="BM969" s="29"/>
      <c r="BN969" s="29"/>
      <c r="BO969" s="29"/>
      <c r="BP969" s="29"/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  <c r="CE969" s="29"/>
    </row>
    <row r="970"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  <c r="BC970" s="29"/>
      <c r="BD970" s="29"/>
      <c r="BE970" s="29"/>
      <c r="BF970" s="29"/>
      <c r="BG970" s="29"/>
      <c r="BH970" s="29"/>
      <c r="BI970" s="29"/>
      <c r="BJ970" s="29"/>
      <c r="BK970" s="29"/>
      <c r="BL970" s="29"/>
      <c r="BM970" s="29"/>
      <c r="BN970" s="29"/>
      <c r="BO970" s="29"/>
      <c r="BP970" s="29"/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  <c r="CE970" s="29"/>
    </row>
    <row r="971"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  <c r="BC971" s="29"/>
      <c r="BD971" s="29"/>
      <c r="BE971" s="29"/>
      <c r="BF971" s="29"/>
      <c r="BG971" s="29"/>
      <c r="BH971" s="29"/>
      <c r="BI971" s="29"/>
      <c r="BJ971" s="29"/>
      <c r="BK971" s="29"/>
      <c r="BL971" s="29"/>
      <c r="BM971" s="29"/>
      <c r="BN971" s="29"/>
      <c r="BO971" s="29"/>
      <c r="BP971" s="29"/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  <c r="CE971" s="29"/>
    </row>
    <row r="972"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  <c r="BC972" s="29"/>
      <c r="BD972" s="29"/>
      <c r="BE972" s="29"/>
      <c r="BF972" s="29"/>
      <c r="BG972" s="29"/>
      <c r="BH972" s="29"/>
      <c r="BI972" s="29"/>
      <c r="BJ972" s="29"/>
      <c r="BK972" s="29"/>
      <c r="BL972" s="29"/>
      <c r="BM972" s="29"/>
      <c r="BN972" s="29"/>
      <c r="BO972" s="29"/>
      <c r="BP972" s="29"/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  <c r="CE972" s="29"/>
    </row>
    <row r="973"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  <c r="BC973" s="29"/>
      <c r="BD973" s="29"/>
      <c r="BE973" s="29"/>
      <c r="BF973" s="29"/>
      <c r="BG973" s="29"/>
      <c r="BH973" s="29"/>
      <c r="BI973" s="29"/>
      <c r="BJ973" s="29"/>
      <c r="BK973" s="29"/>
      <c r="BL973" s="29"/>
      <c r="BM973" s="29"/>
      <c r="BN973" s="29"/>
      <c r="BO973" s="29"/>
      <c r="BP973" s="29"/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  <c r="CE973" s="29"/>
    </row>
    <row r="974"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  <c r="BC974" s="29"/>
      <c r="BD974" s="29"/>
      <c r="BE974" s="29"/>
      <c r="BF974" s="29"/>
      <c r="BG974" s="29"/>
      <c r="BH974" s="29"/>
      <c r="BI974" s="29"/>
      <c r="BJ974" s="29"/>
      <c r="BK974" s="29"/>
      <c r="BL974" s="29"/>
      <c r="BM974" s="29"/>
      <c r="BN974" s="29"/>
      <c r="BO974" s="29"/>
      <c r="BP974" s="29"/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  <c r="CE974" s="29"/>
    </row>
    <row r="975"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  <c r="BC975" s="29"/>
      <c r="BD975" s="29"/>
      <c r="BE975" s="29"/>
      <c r="BF975" s="29"/>
      <c r="BG975" s="29"/>
      <c r="BH975" s="29"/>
      <c r="BI975" s="29"/>
      <c r="BJ975" s="29"/>
      <c r="BK975" s="29"/>
      <c r="BL975" s="29"/>
      <c r="BM975" s="29"/>
      <c r="BN975" s="29"/>
      <c r="BO975" s="29"/>
      <c r="BP975" s="29"/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  <c r="CE975" s="29"/>
    </row>
    <row r="976"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  <c r="BC976" s="29"/>
      <c r="BD976" s="29"/>
      <c r="BE976" s="29"/>
      <c r="BF976" s="29"/>
      <c r="BG976" s="29"/>
      <c r="BH976" s="29"/>
      <c r="BI976" s="29"/>
      <c r="BJ976" s="29"/>
      <c r="BK976" s="29"/>
      <c r="BL976" s="29"/>
      <c r="BM976" s="29"/>
      <c r="BN976" s="29"/>
      <c r="BO976" s="29"/>
      <c r="BP976" s="29"/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  <c r="CE976" s="29"/>
    </row>
    <row r="977"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  <c r="BC977" s="29"/>
      <c r="BD977" s="29"/>
      <c r="BE977" s="29"/>
      <c r="BF977" s="29"/>
      <c r="BG977" s="29"/>
      <c r="BH977" s="29"/>
      <c r="BI977" s="29"/>
      <c r="BJ977" s="29"/>
      <c r="BK977" s="29"/>
      <c r="BL977" s="29"/>
      <c r="BM977" s="29"/>
      <c r="BN977" s="29"/>
      <c r="BO977" s="29"/>
      <c r="BP977" s="29"/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  <c r="CE977" s="29"/>
    </row>
    <row r="978"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  <c r="BC978" s="29"/>
      <c r="BD978" s="29"/>
      <c r="BE978" s="29"/>
      <c r="BF978" s="29"/>
      <c r="BG978" s="29"/>
      <c r="BH978" s="29"/>
      <c r="BI978" s="29"/>
      <c r="BJ978" s="29"/>
      <c r="BK978" s="29"/>
      <c r="BL978" s="29"/>
      <c r="BM978" s="29"/>
      <c r="BN978" s="29"/>
      <c r="BO978" s="29"/>
      <c r="BP978" s="29"/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  <c r="CE978" s="29"/>
    </row>
    <row r="979"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  <c r="BC979" s="29"/>
      <c r="BD979" s="29"/>
      <c r="BE979" s="29"/>
      <c r="BF979" s="29"/>
      <c r="BG979" s="29"/>
      <c r="BH979" s="29"/>
      <c r="BI979" s="29"/>
      <c r="BJ979" s="29"/>
      <c r="BK979" s="29"/>
      <c r="BL979" s="29"/>
      <c r="BM979" s="29"/>
      <c r="BN979" s="29"/>
      <c r="BO979" s="29"/>
      <c r="BP979" s="29"/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  <c r="CE979" s="29"/>
    </row>
    <row r="980"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  <c r="BC980" s="29"/>
      <c r="BD980" s="29"/>
      <c r="BE980" s="29"/>
      <c r="BF980" s="29"/>
      <c r="BG980" s="29"/>
      <c r="BH980" s="29"/>
      <c r="BI980" s="29"/>
      <c r="BJ980" s="29"/>
      <c r="BK980" s="29"/>
      <c r="BL980" s="29"/>
      <c r="BM980" s="29"/>
      <c r="BN980" s="29"/>
      <c r="BO980" s="29"/>
      <c r="BP980" s="29"/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  <c r="CE980" s="29"/>
    </row>
    <row r="981"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  <c r="BC981" s="29"/>
      <c r="BD981" s="29"/>
      <c r="BE981" s="29"/>
      <c r="BF981" s="29"/>
      <c r="BG981" s="29"/>
      <c r="BH981" s="29"/>
      <c r="BI981" s="29"/>
      <c r="BJ981" s="29"/>
      <c r="BK981" s="29"/>
      <c r="BL981" s="29"/>
      <c r="BM981" s="29"/>
      <c r="BN981" s="29"/>
      <c r="BO981" s="29"/>
      <c r="BP981" s="29"/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  <c r="CE981" s="29"/>
    </row>
    <row r="982"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  <c r="BC982" s="29"/>
      <c r="BD982" s="29"/>
      <c r="BE982" s="29"/>
      <c r="BF982" s="29"/>
      <c r="BG982" s="29"/>
      <c r="BH982" s="29"/>
      <c r="BI982" s="29"/>
      <c r="BJ982" s="29"/>
      <c r="BK982" s="29"/>
      <c r="BL982" s="29"/>
      <c r="BM982" s="29"/>
      <c r="BN982" s="29"/>
      <c r="BO982" s="29"/>
      <c r="BP982" s="29"/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  <c r="CE982" s="29"/>
    </row>
    <row r="983"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  <c r="BC983" s="29"/>
      <c r="BD983" s="29"/>
      <c r="BE983" s="29"/>
      <c r="BF983" s="29"/>
      <c r="BG983" s="29"/>
      <c r="BH983" s="29"/>
      <c r="BI983" s="29"/>
      <c r="BJ983" s="29"/>
      <c r="BK983" s="29"/>
      <c r="BL983" s="29"/>
      <c r="BM983" s="29"/>
      <c r="BN983" s="29"/>
      <c r="BO983" s="29"/>
      <c r="BP983" s="29"/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  <c r="CE983" s="29"/>
    </row>
    <row r="984"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  <c r="BC984" s="29"/>
      <c r="BD984" s="29"/>
      <c r="BE984" s="29"/>
      <c r="BF984" s="29"/>
      <c r="BG984" s="29"/>
      <c r="BH984" s="29"/>
      <c r="BI984" s="29"/>
      <c r="BJ984" s="29"/>
      <c r="BK984" s="29"/>
      <c r="BL984" s="29"/>
      <c r="BM984" s="29"/>
      <c r="BN984" s="29"/>
      <c r="BO984" s="29"/>
      <c r="BP984" s="29"/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  <c r="CE984" s="29"/>
    </row>
    <row r="985"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  <c r="BC985" s="29"/>
      <c r="BD985" s="29"/>
      <c r="BE985" s="29"/>
      <c r="BF985" s="29"/>
      <c r="BG985" s="29"/>
      <c r="BH985" s="29"/>
      <c r="BI985" s="29"/>
      <c r="BJ985" s="29"/>
      <c r="BK985" s="29"/>
      <c r="BL985" s="29"/>
      <c r="BM985" s="29"/>
      <c r="BN985" s="29"/>
      <c r="BO985" s="29"/>
      <c r="BP985" s="29"/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  <c r="CE985" s="29"/>
    </row>
    <row r="986"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  <c r="BC986" s="29"/>
      <c r="BD986" s="29"/>
      <c r="BE986" s="29"/>
      <c r="BF986" s="29"/>
      <c r="BG986" s="29"/>
      <c r="BH986" s="29"/>
      <c r="BI986" s="29"/>
      <c r="BJ986" s="29"/>
      <c r="BK986" s="29"/>
      <c r="BL986" s="29"/>
      <c r="BM986" s="29"/>
      <c r="BN986" s="29"/>
      <c r="BO986" s="29"/>
      <c r="BP986" s="29"/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  <c r="CE986" s="29"/>
    </row>
    <row r="987"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  <c r="BC987" s="29"/>
      <c r="BD987" s="29"/>
      <c r="BE987" s="29"/>
      <c r="BF987" s="29"/>
      <c r="BG987" s="29"/>
      <c r="BH987" s="29"/>
      <c r="BI987" s="29"/>
      <c r="BJ987" s="29"/>
      <c r="BK987" s="29"/>
      <c r="BL987" s="29"/>
      <c r="BM987" s="29"/>
      <c r="BN987" s="29"/>
      <c r="BO987" s="29"/>
      <c r="BP987" s="29"/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  <c r="CE987" s="29"/>
    </row>
    <row r="988"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  <c r="BC988" s="29"/>
      <c r="BD988" s="29"/>
      <c r="BE988" s="29"/>
      <c r="BF988" s="29"/>
      <c r="BG988" s="29"/>
      <c r="BH988" s="29"/>
      <c r="BI988" s="29"/>
      <c r="BJ988" s="29"/>
      <c r="BK988" s="29"/>
      <c r="BL988" s="29"/>
      <c r="BM988" s="29"/>
      <c r="BN988" s="29"/>
      <c r="BO988" s="29"/>
      <c r="BP988" s="29"/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  <c r="CE988" s="29"/>
    </row>
    <row r="989"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  <c r="BC989" s="29"/>
      <c r="BD989" s="29"/>
      <c r="BE989" s="29"/>
      <c r="BF989" s="29"/>
      <c r="BG989" s="29"/>
      <c r="BH989" s="29"/>
      <c r="BI989" s="29"/>
      <c r="BJ989" s="29"/>
      <c r="BK989" s="29"/>
      <c r="BL989" s="29"/>
      <c r="BM989" s="29"/>
      <c r="BN989" s="29"/>
      <c r="BO989" s="29"/>
      <c r="BP989" s="29"/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  <c r="CE989" s="29"/>
    </row>
    <row r="990"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  <c r="BC990" s="29"/>
      <c r="BD990" s="29"/>
      <c r="BE990" s="29"/>
      <c r="BF990" s="29"/>
      <c r="BG990" s="29"/>
      <c r="BH990" s="29"/>
      <c r="BI990" s="29"/>
      <c r="BJ990" s="29"/>
      <c r="BK990" s="29"/>
      <c r="BL990" s="29"/>
      <c r="BM990" s="29"/>
      <c r="BN990" s="29"/>
      <c r="BO990" s="29"/>
      <c r="BP990" s="29"/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  <c r="CE990" s="29"/>
    </row>
    <row r="991"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29"/>
      <c r="BG991" s="29"/>
      <c r="BH991" s="29"/>
      <c r="BI991" s="29"/>
      <c r="BJ991" s="29"/>
      <c r="BK991" s="29"/>
      <c r="BL991" s="29"/>
      <c r="BM991" s="29"/>
      <c r="BN991" s="29"/>
      <c r="BO991" s="29"/>
      <c r="BP991" s="29"/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  <c r="CE991" s="29"/>
    </row>
    <row r="992"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  <c r="BC992" s="29"/>
      <c r="BD992" s="29"/>
      <c r="BE992" s="29"/>
      <c r="BF992" s="29"/>
      <c r="BG992" s="29"/>
      <c r="BH992" s="29"/>
      <c r="BI992" s="29"/>
      <c r="BJ992" s="29"/>
      <c r="BK992" s="29"/>
      <c r="BL992" s="29"/>
      <c r="BM992" s="29"/>
      <c r="BN992" s="29"/>
      <c r="BO992" s="29"/>
      <c r="BP992" s="29"/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  <c r="CE992" s="29"/>
    </row>
    <row r="993"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  <c r="BC993" s="29"/>
      <c r="BD993" s="29"/>
      <c r="BE993" s="29"/>
      <c r="BF993" s="29"/>
      <c r="BG993" s="29"/>
      <c r="BH993" s="29"/>
      <c r="BI993" s="29"/>
      <c r="BJ993" s="29"/>
      <c r="BK993" s="29"/>
      <c r="BL993" s="29"/>
      <c r="BM993" s="29"/>
      <c r="BN993" s="29"/>
      <c r="BO993" s="29"/>
      <c r="BP993" s="29"/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  <c r="CE993" s="29"/>
    </row>
    <row r="994"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  <c r="BC994" s="29"/>
      <c r="BD994" s="29"/>
      <c r="BE994" s="29"/>
      <c r="BF994" s="29"/>
      <c r="BG994" s="29"/>
      <c r="BH994" s="29"/>
      <c r="BI994" s="29"/>
      <c r="BJ994" s="29"/>
      <c r="BK994" s="29"/>
      <c r="BL994" s="29"/>
      <c r="BM994" s="29"/>
      <c r="BN994" s="29"/>
      <c r="BO994" s="29"/>
      <c r="BP994" s="29"/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  <c r="CE994" s="29"/>
    </row>
    <row r="995"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  <c r="BC995" s="29"/>
      <c r="BD995" s="29"/>
      <c r="BE995" s="29"/>
      <c r="BF995" s="29"/>
      <c r="BG995" s="29"/>
      <c r="BH995" s="29"/>
      <c r="BI995" s="29"/>
      <c r="BJ995" s="29"/>
      <c r="BK995" s="29"/>
      <c r="BL995" s="29"/>
      <c r="BM995" s="29"/>
      <c r="BN995" s="29"/>
      <c r="BO995" s="29"/>
      <c r="BP995" s="29"/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  <c r="CE995" s="29"/>
    </row>
    <row r="996"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  <c r="BC996" s="29"/>
      <c r="BD996" s="29"/>
      <c r="BE996" s="29"/>
      <c r="BF996" s="29"/>
      <c r="BG996" s="29"/>
      <c r="BH996" s="29"/>
      <c r="BI996" s="29"/>
      <c r="BJ996" s="29"/>
      <c r="BK996" s="29"/>
      <c r="BL996" s="29"/>
      <c r="BM996" s="29"/>
      <c r="BN996" s="29"/>
      <c r="BO996" s="29"/>
      <c r="BP996" s="29"/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  <c r="CE996" s="29"/>
    </row>
    <row r="997"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  <c r="BC997" s="29"/>
      <c r="BD997" s="29"/>
      <c r="BE997" s="29"/>
      <c r="BF997" s="29"/>
      <c r="BG997" s="29"/>
      <c r="BH997" s="29"/>
      <c r="BI997" s="29"/>
      <c r="BJ997" s="29"/>
      <c r="BK997" s="29"/>
      <c r="BL997" s="29"/>
      <c r="BM997" s="29"/>
      <c r="BN997" s="29"/>
      <c r="BO997" s="29"/>
      <c r="BP997" s="29"/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  <c r="CE997" s="29"/>
    </row>
    <row r="998"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  <c r="BC998" s="29"/>
      <c r="BD998" s="29"/>
      <c r="BE998" s="29"/>
      <c r="BF998" s="29"/>
      <c r="BG998" s="29"/>
      <c r="BH998" s="29"/>
      <c r="BI998" s="29"/>
      <c r="BJ998" s="29"/>
      <c r="BK998" s="29"/>
      <c r="BL998" s="29"/>
      <c r="BM998" s="29"/>
      <c r="BN998" s="29"/>
      <c r="BO998" s="29"/>
      <c r="BP998" s="29"/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  <c r="CE998" s="29"/>
    </row>
    <row r="999"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  <c r="BC999" s="29"/>
      <c r="BD999" s="29"/>
      <c r="BE999" s="29"/>
      <c r="BF999" s="29"/>
      <c r="BG999" s="29"/>
      <c r="BH999" s="29"/>
      <c r="BI999" s="29"/>
      <c r="BJ999" s="29"/>
      <c r="BK999" s="29"/>
      <c r="BL999" s="29"/>
      <c r="BM999" s="29"/>
      <c r="BN999" s="29"/>
      <c r="BO999" s="29"/>
      <c r="BP999" s="29"/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  <c r="CE999" s="29"/>
    </row>
    <row r="1000"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  <c r="BC1000" s="29"/>
      <c r="BD1000" s="29"/>
      <c r="BE1000" s="29"/>
      <c r="BF1000" s="29"/>
      <c r="BG1000" s="29"/>
      <c r="BH1000" s="29"/>
      <c r="BI1000" s="29"/>
      <c r="BJ1000" s="29"/>
      <c r="BK1000" s="29"/>
      <c r="BL1000" s="29"/>
      <c r="BM1000" s="29"/>
      <c r="BN1000" s="29"/>
      <c r="BO1000" s="29"/>
      <c r="BP1000" s="29"/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  <c r="CE1000" s="29"/>
    </row>
    <row r="1001">
      <c r="AL1001" s="29"/>
      <c r="AM1001" s="29"/>
      <c r="AN1001" s="29"/>
      <c r="AO1001" s="29"/>
      <c r="AP1001" s="29"/>
      <c r="AQ1001" s="29"/>
      <c r="AR1001" s="29"/>
      <c r="AS1001" s="29"/>
      <c r="AT1001" s="29"/>
      <c r="AU1001" s="29"/>
      <c r="AV1001" s="29"/>
      <c r="AW1001" s="29"/>
      <c r="AX1001" s="29"/>
      <c r="AY1001" s="29"/>
      <c r="AZ1001" s="29"/>
      <c r="BA1001" s="29"/>
      <c r="BB1001" s="29"/>
      <c r="BC1001" s="29"/>
      <c r="BD1001" s="29"/>
      <c r="BE1001" s="29"/>
      <c r="BF1001" s="29"/>
      <c r="BG1001" s="29"/>
      <c r="BH1001" s="29"/>
      <c r="BI1001" s="29"/>
      <c r="BJ1001" s="29"/>
      <c r="BK1001" s="29"/>
      <c r="BL1001" s="29"/>
      <c r="BM1001" s="29"/>
      <c r="BN1001" s="29"/>
      <c r="BO1001" s="29"/>
      <c r="BP1001" s="29"/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  <c r="CE1001" s="29"/>
    </row>
    <row r="1002">
      <c r="AL1002" s="29"/>
      <c r="AM1002" s="29"/>
      <c r="AN1002" s="29"/>
      <c r="AO1002" s="29"/>
      <c r="AP1002" s="29"/>
      <c r="AQ1002" s="29"/>
      <c r="AR1002" s="29"/>
      <c r="AS1002" s="29"/>
      <c r="AT1002" s="29"/>
      <c r="AU1002" s="29"/>
      <c r="AV1002" s="29"/>
      <c r="AW1002" s="29"/>
      <c r="AX1002" s="29"/>
      <c r="AY1002" s="29"/>
      <c r="AZ1002" s="29"/>
      <c r="BA1002" s="29"/>
      <c r="BB1002" s="29"/>
      <c r="BC1002" s="29"/>
      <c r="BD1002" s="29"/>
      <c r="BE1002" s="29"/>
      <c r="BF1002" s="29"/>
      <c r="BG1002" s="29"/>
      <c r="BH1002" s="29"/>
      <c r="BI1002" s="29"/>
      <c r="BJ1002" s="29"/>
      <c r="BK1002" s="29"/>
      <c r="BL1002" s="29"/>
      <c r="BM1002" s="29"/>
      <c r="BN1002" s="29"/>
      <c r="BO1002" s="29"/>
      <c r="BP1002" s="29"/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  <c r="CE1002" s="29"/>
    </row>
    <row r="1003">
      <c r="AL1003" s="29"/>
      <c r="AM1003" s="29"/>
      <c r="AN1003" s="29"/>
      <c r="AO1003" s="29"/>
      <c r="AP1003" s="29"/>
      <c r="AQ1003" s="29"/>
      <c r="AR1003" s="29"/>
      <c r="AS1003" s="29"/>
      <c r="AT1003" s="29"/>
      <c r="AU1003" s="29"/>
      <c r="AV1003" s="29"/>
      <c r="AW1003" s="29"/>
      <c r="AX1003" s="29"/>
      <c r="AY1003" s="29"/>
      <c r="AZ1003" s="29"/>
      <c r="BA1003" s="29"/>
      <c r="BB1003" s="29"/>
      <c r="BC1003" s="29"/>
      <c r="BD1003" s="29"/>
      <c r="BE1003" s="29"/>
      <c r="BF1003" s="29"/>
      <c r="BG1003" s="29"/>
      <c r="BH1003" s="29"/>
      <c r="BI1003" s="29"/>
      <c r="BJ1003" s="29"/>
      <c r="BK1003" s="29"/>
      <c r="BL1003" s="29"/>
      <c r="BM1003" s="29"/>
      <c r="BN1003" s="29"/>
      <c r="BO1003" s="29"/>
      <c r="BP1003" s="29"/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  <c r="CE1003" s="29"/>
    </row>
    <row r="1004">
      <c r="AL1004" s="29"/>
      <c r="AM1004" s="29"/>
      <c r="AN1004" s="29"/>
      <c r="AO1004" s="29"/>
      <c r="AP1004" s="29"/>
      <c r="AQ1004" s="29"/>
      <c r="AR1004" s="29"/>
      <c r="AS1004" s="29"/>
      <c r="AT1004" s="29"/>
      <c r="AU1004" s="29"/>
      <c r="AV1004" s="29"/>
      <c r="AW1004" s="29"/>
      <c r="AX1004" s="29"/>
      <c r="AY1004" s="29"/>
      <c r="AZ1004" s="29"/>
      <c r="BA1004" s="29"/>
      <c r="BB1004" s="29"/>
      <c r="BC1004" s="29"/>
      <c r="BD1004" s="29"/>
      <c r="BE1004" s="29"/>
      <c r="BF1004" s="29"/>
      <c r="BG1004" s="29"/>
      <c r="BH1004" s="29"/>
      <c r="BI1004" s="29"/>
      <c r="BJ1004" s="29"/>
      <c r="BK1004" s="29"/>
      <c r="BL1004" s="29"/>
      <c r="BM1004" s="29"/>
      <c r="BN1004" s="29"/>
      <c r="BO1004" s="29"/>
      <c r="BP1004" s="29"/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  <c r="CE1004" s="29"/>
    </row>
    <row r="1005">
      <c r="AL1005" s="29"/>
      <c r="AM1005" s="29"/>
      <c r="AN1005" s="29"/>
      <c r="AO1005" s="29"/>
      <c r="AP1005" s="29"/>
      <c r="AQ1005" s="29"/>
      <c r="AR1005" s="29"/>
      <c r="AS1005" s="29"/>
      <c r="AT1005" s="29"/>
      <c r="AU1005" s="29"/>
      <c r="AV1005" s="29"/>
      <c r="AW1005" s="29"/>
      <c r="AX1005" s="29"/>
      <c r="AY1005" s="29"/>
      <c r="AZ1005" s="29"/>
      <c r="BA1005" s="29"/>
      <c r="BB1005" s="29"/>
      <c r="BC1005" s="29"/>
      <c r="BD1005" s="29"/>
      <c r="BE1005" s="29"/>
      <c r="BF1005" s="29"/>
      <c r="BG1005" s="29"/>
      <c r="BH1005" s="29"/>
      <c r="BI1005" s="29"/>
      <c r="BJ1005" s="29"/>
      <c r="BK1005" s="29"/>
      <c r="BL1005" s="29"/>
      <c r="BM1005" s="29"/>
      <c r="BN1005" s="29"/>
      <c r="BO1005" s="29"/>
      <c r="BP1005" s="29"/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  <c r="CE1005" s="29"/>
    </row>
    <row r="1006">
      <c r="AL1006" s="29"/>
      <c r="AM1006" s="29"/>
      <c r="AN1006" s="29"/>
      <c r="AO1006" s="29"/>
      <c r="AP1006" s="29"/>
      <c r="AQ1006" s="29"/>
      <c r="AR1006" s="29"/>
      <c r="AS1006" s="29"/>
      <c r="AT1006" s="29"/>
      <c r="AU1006" s="29"/>
      <c r="AV1006" s="29"/>
      <c r="AW1006" s="29"/>
      <c r="AX1006" s="29"/>
      <c r="AY1006" s="29"/>
      <c r="AZ1006" s="29"/>
      <c r="BA1006" s="29"/>
      <c r="BB1006" s="29"/>
      <c r="BC1006" s="29"/>
      <c r="BD1006" s="29"/>
      <c r="BE1006" s="29"/>
      <c r="BF1006" s="29"/>
      <c r="BG1006" s="29"/>
      <c r="BH1006" s="29"/>
      <c r="BI1006" s="29"/>
      <c r="BJ1006" s="29"/>
      <c r="BK1006" s="29"/>
      <c r="BL1006" s="29"/>
      <c r="BM1006" s="29"/>
      <c r="BN1006" s="29"/>
      <c r="BO1006" s="29"/>
      <c r="BP1006" s="29"/>
      <c r="BQ1006" s="29"/>
      <c r="BR1006" s="29"/>
      <c r="BS1006" s="29"/>
      <c r="BT1006" s="29"/>
      <c r="BU1006" s="29"/>
      <c r="BV1006" s="29"/>
      <c r="BW1006" s="29"/>
      <c r="BX1006" s="29"/>
      <c r="BY1006" s="29"/>
      <c r="BZ1006" s="29"/>
      <c r="CA1006" s="29"/>
      <c r="CB1006" s="29"/>
      <c r="CC1006" s="29"/>
      <c r="CD1006" s="29"/>
      <c r="CE1006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7" t="s">
        <v>75</v>
      </c>
      <c r="B2" s="38">
        <v>5596.0</v>
      </c>
      <c r="C2" s="38">
        <v>5567.0</v>
      </c>
      <c r="D2" s="38">
        <v>5584.0</v>
      </c>
      <c r="E2" s="38">
        <v>5567.0</v>
      </c>
      <c r="F2" s="38">
        <v>5566.0</v>
      </c>
      <c r="G2" s="38">
        <v>5596.0</v>
      </c>
      <c r="H2" s="37">
        <v>5592.0</v>
      </c>
      <c r="I2" s="37">
        <v>5571.0</v>
      </c>
      <c r="J2" s="37">
        <v>5568.0</v>
      </c>
      <c r="K2" s="37">
        <v>5506.0</v>
      </c>
      <c r="L2" s="37">
        <v>5560.0</v>
      </c>
      <c r="M2" s="37">
        <v>5579.0</v>
      </c>
      <c r="N2" s="37">
        <v>5590.0</v>
      </c>
      <c r="O2" s="37">
        <v>5567.0</v>
      </c>
      <c r="P2" s="37">
        <v>5529.0</v>
      </c>
      <c r="Q2" s="39">
        <v>5514.0</v>
      </c>
      <c r="R2" s="3">
        <v>5413.0</v>
      </c>
      <c r="S2" s="9">
        <v>5421.0</v>
      </c>
      <c r="T2" s="3">
        <v>5409.0</v>
      </c>
      <c r="U2" s="3">
        <v>5431.0</v>
      </c>
      <c r="V2" s="3">
        <v>5451.0</v>
      </c>
      <c r="W2" s="3">
        <v>5438.0</v>
      </c>
      <c r="X2" s="3">
        <v>5425.0</v>
      </c>
      <c r="Y2" s="39">
        <v>5461.0</v>
      </c>
      <c r="Z2" s="39">
        <v>5447.0</v>
      </c>
      <c r="AA2" s="39">
        <v>5454.0</v>
      </c>
      <c r="AB2" s="39">
        <v>5446.0</v>
      </c>
      <c r="AC2" s="39">
        <v>5389.0</v>
      </c>
      <c r="AD2" s="39">
        <v>5378.0</v>
      </c>
      <c r="AE2" s="39">
        <v>5343.0</v>
      </c>
      <c r="AF2" s="39">
        <v>5351.0</v>
      </c>
      <c r="AG2" s="39">
        <v>5374.0</v>
      </c>
      <c r="AH2" s="39">
        <v>5374.0</v>
      </c>
      <c r="AI2" s="39">
        <v>5354.0</v>
      </c>
      <c r="AJ2" s="39">
        <v>5337.0</v>
      </c>
      <c r="AK2" s="39">
        <v>5303.0</v>
      </c>
      <c r="AL2" s="39">
        <v>5299.0</v>
      </c>
      <c r="AM2" s="39">
        <v>5348.0</v>
      </c>
      <c r="AN2" s="39">
        <v>5317.0</v>
      </c>
      <c r="AO2" s="39">
        <v>5302.0</v>
      </c>
      <c r="AP2" s="39">
        <v>5301.0</v>
      </c>
      <c r="AQ2" s="39">
        <v>5312.0</v>
      </c>
      <c r="AR2" s="39">
        <v>5315.0</v>
      </c>
      <c r="AS2" s="39">
        <v>5292.0</v>
      </c>
      <c r="AT2" s="39">
        <v>5330.0</v>
      </c>
      <c r="AU2" s="39">
        <v>5330.0</v>
      </c>
      <c r="AV2" s="39">
        <v>5315.0</v>
      </c>
      <c r="AW2" s="39">
        <v>5287.0</v>
      </c>
      <c r="AX2" s="39">
        <v>5252.0</v>
      </c>
      <c r="AY2" s="39">
        <v>5234.0</v>
      </c>
      <c r="AZ2" s="39">
        <v>5163.0</v>
      </c>
      <c r="BA2" s="39">
        <v>5174.0</v>
      </c>
      <c r="BB2" s="39">
        <v>5136.0</v>
      </c>
      <c r="BC2" s="39">
        <v>5112.0</v>
      </c>
      <c r="BD2" s="39">
        <v>5105.0</v>
      </c>
      <c r="BE2" s="39">
        <v>5096.0</v>
      </c>
      <c r="BF2" s="39">
        <v>5053.0</v>
      </c>
      <c r="BG2" s="39">
        <v>5007.0</v>
      </c>
      <c r="BH2" s="39">
        <v>5009.0</v>
      </c>
      <c r="BI2" s="39">
        <v>5020.0</v>
      </c>
      <c r="BJ2" s="39">
        <v>4991.0</v>
      </c>
      <c r="BK2" s="39">
        <v>4990.0</v>
      </c>
      <c r="BL2" s="39">
        <v>5003.0</v>
      </c>
      <c r="BM2" s="39">
        <v>4989.0</v>
      </c>
      <c r="BN2" s="39">
        <v>4996.0</v>
      </c>
      <c r="BO2" s="39">
        <v>4969.0</v>
      </c>
      <c r="BP2" s="39">
        <v>4965.0</v>
      </c>
      <c r="BQ2" s="39">
        <v>4942.0</v>
      </c>
      <c r="BR2" s="39">
        <v>4960.0</v>
      </c>
      <c r="BS2" s="39">
        <v>4918.0</v>
      </c>
      <c r="BT2" s="39">
        <v>4929.0</v>
      </c>
      <c r="BU2" s="39">
        <v>4909.0</v>
      </c>
      <c r="BV2" s="39">
        <v>4932.0</v>
      </c>
      <c r="BW2" s="39">
        <v>4952.0</v>
      </c>
      <c r="BX2" s="39">
        <v>4956.0</v>
      </c>
      <c r="BY2" s="39">
        <v>4950.0</v>
      </c>
      <c r="BZ2" s="39">
        <v>4930.0</v>
      </c>
      <c r="CA2" s="39">
        <v>4930.0</v>
      </c>
      <c r="CB2" s="39">
        <v>4784.0</v>
      </c>
      <c r="CC2" s="39">
        <v>4735.0</v>
      </c>
      <c r="CD2" s="39">
        <v>4679.0</v>
      </c>
      <c r="CE2" s="39">
        <v>4626.0</v>
      </c>
      <c r="CF2" s="39">
        <v>4701.0</v>
      </c>
      <c r="CG2" s="39">
        <v>4647.0</v>
      </c>
      <c r="CH2" s="39">
        <v>4576.0</v>
      </c>
      <c r="CI2" s="39">
        <v>4489.0</v>
      </c>
      <c r="CJ2" s="39">
        <v>4416.0</v>
      </c>
      <c r="CK2" s="39">
        <v>4408.0</v>
      </c>
      <c r="CL2" s="39">
        <v>4277.0</v>
      </c>
      <c r="CM2" s="39">
        <v>4242.0</v>
      </c>
      <c r="CN2" s="39">
        <v>4201.0</v>
      </c>
      <c r="CO2" s="39">
        <v>4111.0</v>
      </c>
      <c r="CP2" s="39">
        <v>4066.0</v>
      </c>
      <c r="CQ2" s="39">
        <v>4007.0</v>
      </c>
      <c r="CR2" s="39">
        <v>3951.0</v>
      </c>
      <c r="CS2" s="39">
        <v>3906.0</v>
      </c>
      <c r="CT2" s="39">
        <v>3869.0</v>
      </c>
      <c r="CU2" s="39">
        <v>3831.0</v>
      </c>
      <c r="CV2" s="39">
        <v>3746.0</v>
      </c>
      <c r="CW2" s="39">
        <v>3703.0</v>
      </c>
      <c r="CX2" s="39">
        <v>3628.0</v>
      </c>
      <c r="CY2" s="39">
        <v>3575.0</v>
      </c>
      <c r="CZ2" s="39">
        <v>3485.0</v>
      </c>
      <c r="DA2" s="39">
        <v>3450.0</v>
      </c>
      <c r="DB2" s="39">
        <v>3373.0</v>
      </c>
      <c r="DC2" s="39">
        <v>3330.0</v>
      </c>
      <c r="DD2" s="39">
        <v>3291.0</v>
      </c>
      <c r="DE2" s="39">
        <v>3114.0</v>
      </c>
      <c r="DF2" s="39">
        <v>3073.0</v>
      </c>
      <c r="DG2" s="39">
        <v>3016.0</v>
      </c>
      <c r="DH2" s="39">
        <v>2903.0</v>
      </c>
      <c r="DI2" s="39">
        <v>2825.0</v>
      </c>
      <c r="DJ2" s="39">
        <v>2739.0</v>
      </c>
      <c r="DK2" s="39">
        <v>2671.0</v>
      </c>
      <c r="DL2" s="39">
        <v>2643.0</v>
      </c>
      <c r="DM2" s="39">
        <v>2610.0</v>
      </c>
      <c r="DN2" s="39">
        <v>2563.0</v>
      </c>
      <c r="DO2" s="39">
        <v>2529.0</v>
      </c>
      <c r="DP2" s="39">
        <v>2535.0</v>
      </c>
      <c r="DQ2" s="39">
        <v>2487.0</v>
      </c>
      <c r="DR2" s="39">
        <v>2459.0</v>
      </c>
      <c r="DS2" s="39">
        <v>2487.0</v>
      </c>
      <c r="DT2" s="39">
        <v>2495.0</v>
      </c>
      <c r="DU2" s="39">
        <v>2476.0</v>
      </c>
    </row>
    <row r="3">
      <c r="A3" s="37" t="s">
        <v>78</v>
      </c>
      <c r="B3" s="37">
        <v>9.0</v>
      </c>
      <c r="C3" s="37">
        <v>30.0</v>
      </c>
      <c r="D3" s="37">
        <v>9.0</v>
      </c>
      <c r="E3" s="37">
        <v>5.0</v>
      </c>
      <c r="F3" s="37">
        <v>33.0</v>
      </c>
      <c r="G3" s="37">
        <v>23.0</v>
      </c>
      <c r="H3" s="37">
        <v>9.0</v>
      </c>
      <c r="I3" s="37">
        <v>22.0</v>
      </c>
      <c r="J3" s="37">
        <v>6.0</v>
      </c>
      <c r="K3" s="37">
        <v>11.0</v>
      </c>
      <c r="L3" s="37">
        <v>7.0</v>
      </c>
      <c r="M3" s="37">
        <v>43.0</v>
      </c>
      <c r="N3" s="37">
        <v>14.0</v>
      </c>
      <c r="O3" s="37">
        <v>5.0</v>
      </c>
      <c r="P3" s="37">
        <v>9.0</v>
      </c>
      <c r="Q3" s="37">
        <v>11.0</v>
      </c>
      <c r="R3" s="3">
        <v>43.0</v>
      </c>
      <c r="S3" s="3">
        <v>12.0</v>
      </c>
      <c r="T3" s="3">
        <v>20.0</v>
      </c>
      <c r="U3" s="3">
        <v>13.0</v>
      </c>
      <c r="V3" s="3">
        <v>15.0</v>
      </c>
      <c r="W3" s="3">
        <v>20.0</v>
      </c>
      <c r="X3" s="3">
        <v>25.0</v>
      </c>
      <c r="Y3" s="37">
        <v>15.0</v>
      </c>
      <c r="Z3" s="37">
        <v>29.0</v>
      </c>
      <c r="AA3" s="37">
        <v>23.0</v>
      </c>
      <c r="AB3" s="37">
        <v>21.0</v>
      </c>
      <c r="AC3" s="37">
        <v>11.0</v>
      </c>
      <c r="AD3" s="37">
        <v>17.0</v>
      </c>
      <c r="AE3" s="37">
        <v>34.0</v>
      </c>
      <c r="AF3" s="37">
        <v>18.0</v>
      </c>
      <c r="AG3" s="37">
        <v>16.0</v>
      </c>
      <c r="AH3" s="37">
        <v>17.0</v>
      </c>
      <c r="AI3" s="37">
        <v>17.0</v>
      </c>
      <c r="AJ3" s="37">
        <v>18.0</v>
      </c>
      <c r="AK3" s="37">
        <v>17.0</v>
      </c>
      <c r="AL3" s="37">
        <v>64.0</v>
      </c>
      <c r="AM3" s="37">
        <v>10.0</v>
      </c>
      <c r="AN3" s="37">
        <v>7.0</v>
      </c>
      <c r="AO3" s="37">
        <v>11.0</v>
      </c>
      <c r="AP3" s="37">
        <v>18.0</v>
      </c>
      <c r="AQ3" s="37">
        <v>12.0</v>
      </c>
      <c r="AR3" s="37">
        <v>10.0</v>
      </c>
      <c r="AS3" s="37">
        <v>38.0</v>
      </c>
      <c r="AT3" s="37">
        <v>28.0</v>
      </c>
      <c r="AU3" s="37">
        <v>14.0</v>
      </c>
      <c r="AV3" s="37">
        <v>25.0</v>
      </c>
      <c r="AW3" s="37">
        <v>10.0</v>
      </c>
      <c r="AX3" s="37">
        <v>8.0</v>
      </c>
      <c r="AY3" s="37">
        <v>9.0</v>
      </c>
      <c r="AZ3" s="37">
        <v>30.0</v>
      </c>
      <c r="BA3" s="37">
        <v>13.0</v>
      </c>
      <c r="BB3" s="37">
        <v>6.0</v>
      </c>
      <c r="BC3" s="37">
        <v>9.0</v>
      </c>
      <c r="BD3" s="37">
        <v>15.0</v>
      </c>
      <c r="BE3" s="37">
        <v>11.0</v>
      </c>
      <c r="BF3" s="37">
        <v>27.0</v>
      </c>
      <c r="BG3" s="37">
        <v>27.0</v>
      </c>
      <c r="BH3" s="37">
        <v>52.0</v>
      </c>
      <c r="BI3" s="37">
        <v>25.0</v>
      </c>
      <c r="BJ3" s="37">
        <v>12.0</v>
      </c>
      <c r="BK3" s="37">
        <v>11.0</v>
      </c>
      <c r="BL3" s="37">
        <v>13.0</v>
      </c>
      <c r="BM3" s="37">
        <v>8.0</v>
      </c>
      <c r="BN3" s="37">
        <v>21.0</v>
      </c>
      <c r="BO3" s="37">
        <v>16.0</v>
      </c>
      <c r="BP3" s="37">
        <v>14.0</v>
      </c>
      <c r="BQ3" s="37">
        <v>13.0</v>
      </c>
      <c r="BR3" s="37">
        <v>3.0</v>
      </c>
      <c r="BS3" s="37">
        <v>12.0</v>
      </c>
      <c r="BT3" s="37">
        <v>8.0</v>
      </c>
      <c r="BU3" s="3">
        <v>46.0</v>
      </c>
      <c r="BV3" s="37">
        <v>33.0</v>
      </c>
      <c r="BW3" s="37">
        <v>17.0</v>
      </c>
      <c r="BX3" s="37">
        <v>28.0</v>
      </c>
      <c r="BY3" s="37">
        <v>2.0</v>
      </c>
      <c r="BZ3" s="37">
        <v>9.0</v>
      </c>
      <c r="CA3" s="37">
        <v>5.0</v>
      </c>
      <c r="CB3" s="37">
        <v>30.0</v>
      </c>
      <c r="CC3" s="37">
        <v>32.0</v>
      </c>
      <c r="CD3" s="37">
        <v>16.0</v>
      </c>
      <c r="CE3" s="37">
        <v>11.0</v>
      </c>
      <c r="CF3" s="37">
        <v>11.0</v>
      </c>
      <c r="CG3" s="37">
        <v>15.0</v>
      </c>
      <c r="CH3" s="37">
        <v>10.0</v>
      </c>
      <c r="CI3" s="37">
        <v>27.0</v>
      </c>
      <c r="CJ3" s="37">
        <v>13.0</v>
      </c>
      <c r="CK3" s="37">
        <v>18.0</v>
      </c>
      <c r="CL3" s="37">
        <v>13.0</v>
      </c>
      <c r="CM3" s="37">
        <v>16.0</v>
      </c>
      <c r="CN3" s="37">
        <v>7.0</v>
      </c>
      <c r="CO3" s="37">
        <v>5.0</v>
      </c>
      <c r="CP3" s="37">
        <v>20.0</v>
      </c>
      <c r="CQ3" s="37">
        <v>7.0</v>
      </c>
      <c r="CR3" s="37">
        <v>4.0</v>
      </c>
      <c r="CS3" s="37">
        <v>23.0</v>
      </c>
      <c r="CT3" s="37">
        <v>12.0</v>
      </c>
      <c r="CU3" s="37">
        <v>8.0</v>
      </c>
      <c r="CV3" s="37">
        <v>3.0</v>
      </c>
      <c r="CW3" s="37">
        <v>10.0</v>
      </c>
      <c r="CX3" s="37">
        <v>23.0</v>
      </c>
      <c r="CY3" s="37">
        <v>3.0</v>
      </c>
      <c r="CZ3" s="37">
        <v>10.0</v>
      </c>
      <c r="DA3" s="37">
        <v>10.0</v>
      </c>
      <c r="DB3" s="37">
        <v>4.0</v>
      </c>
      <c r="DC3" s="37">
        <v>8.0</v>
      </c>
      <c r="DD3" s="37">
        <v>8.0</v>
      </c>
      <c r="DE3" s="37">
        <v>5.0</v>
      </c>
      <c r="DF3" s="37">
        <v>6.0</v>
      </c>
      <c r="DG3" s="37">
        <v>0.0</v>
      </c>
      <c r="DH3" s="37">
        <v>0.0</v>
      </c>
      <c r="DI3" s="37">
        <v>0.0</v>
      </c>
      <c r="DJ3" s="37">
        <v>16.0</v>
      </c>
      <c r="DK3" s="37">
        <v>10.0</v>
      </c>
      <c r="DL3" s="37">
        <v>10.0</v>
      </c>
      <c r="DM3" s="37">
        <v>3.0</v>
      </c>
      <c r="DN3" s="37">
        <v>4.0</v>
      </c>
      <c r="DO3" s="37">
        <v>7.0</v>
      </c>
      <c r="DP3" s="37">
        <v>3.0</v>
      </c>
      <c r="DQ3" s="37">
        <v>3.0</v>
      </c>
      <c r="DR3" s="37">
        <v>0.0</v>
      </c>
      <c r="DS3" s="37">
        <v>0.0</v>
      </c>
      <c r="DT3" s="37">
        <v>2.0</v>
      </c>
      <c r="DU3" s="37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55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28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75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78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20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24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107</v>
      </c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</row>
    <row r="2">
      <c r="A2" s="3" t="s">
        <v>108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 t="s">
        <v>109</v>
      </c>
      <c r="AZ2" s="3" t="s">
        <v>110</v>
      </c>
      <c r="BA2" s="3" t="s">
        <v>111</v>
      </c>
      <c r="BB2" s="3" t="s">
        <v>112</v>
      </c>
      <c r="BC2" s="3" t="s">
        <v>113</v>
      </c>
      <c r="BE2" s="3" t="s">
        <v>114</v>
      </c>
      <c r="BF2" s="3"/>
      <c r="BG2" s="3"/>
    </row>
    <row r="3">
      <c r="A3" s="3" t="s">
        <v>115</v>
      </c>
      <c r="B3" s="3">
        <v>0.0</v>
      </c>
      <c r="C3" s="3">
        <v>1.0</v>
      </c>
      <c r="D3" s="3">
        <v>0.0</v>
      </c>
      <c r="E3" s="3">
        <v>0.0</v>
      </c>
      <c r="F3" s="3">
        <v>0.0</v>
      </c>
      <c r="G3" s="3">
        <v>0.0</v>
      </c>
      <c r="H3" s="3">
        <v>0.0</v>
      </c>
      <c r="I3" s="3">
        <v>1.0</v>
      </c>
      <c r="J3" s="3">
        <v>0.0</v>
      </c>
      <c r="K3" s="3">
        <v>0.0</v>
      </c>
      <c r="L3" s="3">
        <v>0.0</v>
      </c>
      <c r="M3" s="3">
        <v>0.0</v>
      </c>
      <c r="N3" s="3">
        <v>0.0</v>
      </c>
      <c r="O3" s="3">
        <v>0.0</v>
      </c>
      <c r="P3" s="3">
        <v>1.0</v>
      </c>
      <c r="Q3" s="3">
        <v>0.0</v>
      </c>
      <c r="R3" s="3">
        <v>0.0</v>
      </c>
      <c r="S3" s="3">
        <v>3.0</v>
      </c>
      <c r="T3" s="3">
        <v>0.0</v>
      </c>
      <c r="U3" s="3">
        <v>1.0</v>
      </c>
      <c r="V3" s="3">
        <v>0.0</v>
      </c>
      <c r="W3" s="3">
        <v>0.0</v>
      </c>
      <c r="X3" s="3">
        <v>0.0</v>
      </c>
      <c r="Y3" s="3">
        <v>0.0</v>
      </c>
      <c r="Z3" s="3">
        <v>0.0</v>
      </c>
      <c r="AA3" s="3">
        <v>0.0</v>
      </c>
      <c r="AB3" s="3">
        <v>0.0</v>
      </c>
      <c r="AC3" s="3">
        <v>0.0</v>
      </c>
      <c r="AD3" s="3">
        <v>0.0</v>
      </c>
      <c r="AE3" s="3">
        <v>1.0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1.0</v>
      </c>
      <c r="AY3" s="3">
        <v>0.0</v>
      </c>
      <c r="AZ3" s="3">
        <v>0.0</v>
      </c>
      <c r="BA3" s="3">
        <v>0.0</v>
      </c>
      <c r="BB3" s="3">
        <v>4.0</v>
      </c>
      <c r="BC3" s="3">
        <v>0.0</v>
      </c>
      <c r="BD3" s="3">
        <v>0.0</v>
      </c>
      <c r="BE3" s="3">
        <v>0.0</v>
      </c>
      <c r="BF3" s="3"/>
      <c r="BG3" s="3"/>
    </row>
    <row r="4">
      <c r="A4" s="3" t="s">
        <v>117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>
        <v>4.0</v>
      </c>
      <c r="AQ4" s="3">
        <v>0.0</v>
      </c>
      <c r="AR4" s="3">
        <v>0.0</v>
      </c>
      <c r="AS4" s="3">
        <v>0.0</v>
      </c>
      <c r="AT4" s="3">
        <v>0.0</v>
      </c>
      <c r="AU4" s="3">
        <v>0.0</v>
      </c>
      <c r="AV4" s="3">
        <v>0.0</v>
      </c>
      <c r="AW4" s="3">
        <v>0.0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>
        <v>0.0</v>
      </c>
      <c r="BE4" s="3">
        <v>0.0</v>
      </c>
      <c r="BF4" s="3"/>
      <c r="BG4" s="3"/>
    </row>
    <row r="5">
      <c r="A5" s="3" t="s">
        <v>54</v>
      </c>
      <c r="B5" s="3">
        <v>0.0</v>
      </c>
      <c r="C5" s="3">
        <v>0.0</v>
      </c>
      <c r="D5" s="3">
        <v>0.0</v>
      </c>
      <c r="E5" s="3">
        <v>0.0</v>
      </c>
      <c r="F5" s="3">
        <v>0.0</v>
      </c>
      <c r="G5" s="3">
        <v>0.0</v>
      </c>
      <c r="H5" s="3">
        <v>0.0</v>
      </c>
      <c r="I5" s="3">
        <v>1.0</v>
      </c>
      <c r="J5" s="3">
        <v>0.0</v>
      </c>
      <c r="K5" s="3">
        <v>0.0</v>
      </c>
      <c r="L5" s="3">
        <v>0.0</v>
      </c>
      <c r="M5" s="3">
        <v>0.0</v>
      </c>
      <c r="N5" s="3">
        <v>0.0</v>
      </c>
      <c r="O5" s="3">
        <v>0.0</v>
      </c>
      <c r="P5" s="3">
        <v>0.0</v>
      </c>
      <c r="Q5" s="3">
        <v>0.0</v>
      </c>
      <c r="R5" s="3">
        <v>0.0</v>
      </c>
      <c r="S5" s="3">
        <v>0.0</v>
      </c>
      <c r="T5" s="3">
        <v>0.0</v>
      </c>
      <c r="U5" s="3">
        <v>0.0</v>
      </c>
      <c r="V5" s="3">
        <v>0.0</v>
      </c>
      <c r="W5" s="3">
        <v>0.0</v>
      </c>
      <c r="X5" s="3">
        <v>0.0</v>
      </c>
      <c r="Y5" s="3">
        <v>0.0</v>
      </c>
      <c r="Z5" s="3">
        <v>0.0</v>
      </c>
      <c r="AA5" s="3">
        <v>0.0</v>
      </c>
      <c r="AB5" s="3">
        <v>0.0</v>
      </c>
      <c r="AC5" s="3">
        <v>0.0</v>
      </c>
      <c r="AD5" s="3">
        <v>0.0</v>
      </c>
      <c r="AE5" s="3">
        <v>0.0</v>
      </c>
      <c r="AF5" s="3">
        <v>0.0</v>
      </c>
      <c r="AG5" s="3">
        <v>2.0</v>
      </c>
      <c r="AH5" s="3">
        <v>0.0</v>
      </c>
      <c r="AI5" s="3">
        <v>0.0</v>
      </c>
      <c r="AJ5" s="3">
        <v>0.0</v>
      </c>
      <c r="AK5" s="3">
        <v>0.0</v>
      </c>
      <c r="AL5" s="3">
        <v>0.0</v>
      </c>
      <c r="AM5" s="3">
        <v>0.0</v>
      </c>
      <c r="AN5" s="3">
        <v>0.0</v>
      </c>
      <c r="AO5" s="3">
        <v>0.0</v>
      </c>
      <c r="AP5" s="3">
        <v>0.0</v>
      </c>
      <c r="AQ5" s="3">
        <v>0.0</v>
      </c>
      <c r="AR5" s="3">
        <v>0.0</v>
      </c>
      <c r="AS5" s="3">
        <v>0.0</v>
      </c>
      <c r="AT5" s="3">
        <v>0.0</v>
      </c>
      <c r="AU5" s="3">
        <v>0.0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>
        <v>0.0</v>
      </c>
      <c r="BC5" s="3">
        <v>0.0</v>
      </c>
      <c r="BD5" s="3">
        <v>0.0</v>
      </c>
      <c r="BE5" s="3">
        <v>0.0</v>
      </c>
      <c r="BF5" s="3"/>
      <c r="BG5" s="3"/>
    </row>
    <row r="6">
      <c r="A6" s="3" t="s">
        <v>22</v>
      </c>
      <c r="B6" s="3">
        <v>1.0</v>
      </c>
      <c r="C6" s="3">
        <v>2.0</v>
      </c>
      <c r="D6" s="3">
        <v>0.0</v>
      </c>
      <c r="E6" s="3">
        <v>1.0</v>
      </c>
      <c r="F6" s="3">
        <v>6.0</v>
      </c>
      <c r="G6" s="3">
        <v>8.0</v>
      </c>
      <c r="H6" s="3">
        <v>4.0</v>
      </c>
      <c r="I6" s="3">
        <v>0.0</v>
      </c>
      <c r="J6" s="15">
        <v>3.0</v>
      </c>
      <c r="K6" s="15">
        <v>5.0</v>
      </c>
      <c r="L6" s="15">
        <v>6.0</v>
      </c>
      <c r="M6" s="15">
        <v>10.0</v>
      </c>
      <c r="N6" s="15">
        <v>9.0</v>
      </c>
      <c r="O6" s="15">
        <v>3.0</v>
      </c>
      <c r="P6" s="15">
        <v>18.0</v>
      </c>
      <c r="Q6" s="15">
        <v>7.0</v>
      </c>
      <c r="R6" s="15">
        <v>17.0</v>
      </c>
      <c r="S6" s="15">
        <v>7.0</v>
      </c>
      <c r="T6" s="15">
        <v>5.0</v>
      </c>
      <c r="U6" s="15">
        <v>5.0</v>
      </c>
      <c r="V6" s="15">
        <v>7.0</v>
      </c>
      <c r="W6" s="15">
        <v>3.0</v>
      </c>
      <c r="X6" s="15">
        <v>3.0</v>
      </c>
      <c r="Y6" s="15">
        <v>6.0</v>
      </c>
      <c r="Z6" s="15">
        <v>7.0</v>
      </c>
      <c r="AA6" s="15">
        <v>13.0</v>
      </c>
      <c r="AB6" s="15">
        <v>9.0</v>
      </c>
      <c r="AC6" s="15">
        <v>0.0</v>
      </c>
      <c r="AD6" s="15">
        <v>2.0</v>
      </c>
      <c r="AE6" s="15">
        <v>5.0</v>
      </c>
      <c r="AF6" s="15">
        <v>13.0</v>
      </c>
      <c r="AG6" s="15">
        <v>9.0</v>
      </c>
      <c r="AH6" s="3">
        <v>0.0</v>
      </c>
      <c r="AI6" s="3">
        <v>0.0</v>
      </c>
      <c r="AJ6" s="3">
        <v>0.0</v>
      </c>
      <c r="AK6" s="3">
        <v>1.0</v>
      </c>
      <c r="AL6" s="3">
        <v>0.0</v>
      </c>
      <c r="AM6" s="3">
        <v>1.0</v>
      </c>
      <c r="AN6" s="3">
        <v>0.0</v>
      </c>
      <c r="AO6" s="3">
        <v>2.0</v>
      </c>
      <c r="AP6" s="3">
        <v>0.0</v>
      </c>
      <c r="AQ6" s="3">
        <v>0.0</v>
      </c>
      <c r="AR6" s="3">
        <v>0.0</v>
      </c>
      <c r="AS6" s="3">
        <v>0.0</v>
      </c>
      <c r="AT6" s="3">
        <v>2.0</v>
      </c>
      <c r="AU6" s="3">
        <v>4.0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>
        <v>0.0</v>
      </c>
      <c r="BC6" s="3">
        <v>0.0</v>
      </c>
      <c r="BD6" s="3">
        <v>0.0</v>
      </c>
      <c r="BE6" s="3">
        <v>0.0</v>
      </c>
      <c r="BF6" s="3"/>
      <c r="BG6" s="3"/>
    </row>
    <row r="7">
      <c r="A7" s="3" t="s">
        <v>31</v>
      </c>
      <c r="B7" s="3">
        <v>1.0</v>
      </c>
      <c r="C7" s="3">
        <v>1.0</v>
      </c>
      <c r="D7" s="3">
        <v>0.0</v>
      </c>
      <c r="E7" s="3">
        <v>0.0</v>
      </c>
      <c r="F7" s="3">
        <v>0.0</v>
      </c>
      <c r="G7" s="3">
        <v>3.0</v>
      </c>
      <c r="H7" s="3">
        <v>5.0</v>
      </c>
      <c r="I7" s="3">
        <v>0.0</v>
      </c>
      <c r="J7" s="3">
        <v>9.0</v>
      </c>
      <c r="K7" s="3">
        <v>9.0</v>
      </c>
      <c r="L7" s="3">
        <v>0.0</v>
      </c>
      <c r="M7" s="3">
        <v>0.0</v>
      </c>
      <c r="N7" s="3">
        <v>7.0</v>
      </c>
      <c r="O7" s="3">
        <v>12.0</v>
      </c>
      <c r="P7" s="3">
        <v>13.0</v>
      </c>
      <c r="Q7" s="3">
        <v>3.0</v>
      </c>
      <c r="R7" s="3">
        <v>3.0</v>
      </c>
      <c r="S7" s="3">
        <v>1.0</v>
      </c>
      <c r="T7" s="3">
        <v>3.0</v>
      </c>
      <c r="U7" s="3">
        <v>0.0</v>
      </c>
      <c r="V7" s="3">
        <v>1.0</v>
      </c>
      <c r="W7" s="3">
        <v>0.0</v>
      </c>
      <c r="X7" s="3">
        <v>0.0</v>
      </c>
      <c r="Y7" s="3">
        <v>0.0</v>
      </c>
      <c r="Z7" s="3">
        <v>0.0</v>
      </c>
      <c r="AA7" s="3">
        <v>0.0</v>
      </c>
      <c r="AB7" s="3">
        <v>0.0</v>
      </c>
      <c r="AC7" s="3">
        <v>0.0</v>
      </c>
      <c r="AD7" s="3">
        <v>0.0</v>
      </c>
      <c r="AE7" s="3">
        <v>0.0</v>
      </c>
      <c r="AF7" s="3">
        <v>0.0</v>
      </c>
      <c r="AG7" s="3">
        <v>1.0</v>
      </c>
      <c r="AH7" s="3">
        <v>2.0</v>
      </c>
      <c r="AI7" s="3">
        <v>0.0</v>
      </c>
      <c r="AJ7" s="3">
        <v>3.0</v>
      </c>
      <c r="AK7" s="3">
        <v>0.0</v>
      </c>
      <c r="AL7" s="3">
        <v>0.0</v>
      </c>
      <c r="AM7" s="3">
        <v>0.0</v>
      </c>
      <c r="AN7" s="3">
        <v>0.0</v>
      </c>
      <c r="AO7" s="3">
        <v>0.0</v>
      </c>
      <c r="AP7" s="3">
        <v>1.0</v>
      </c>
      <c r="AQ7" s="3">
        <v>1.0</v>
      </c>
      <c r="AR7" s="3">
        <v>0.0</v>
      </c>
      <c r="AS7" s="3">
        <v>0.0</v>
      </c>
      <c r="AT7" s="3">
        <v>0.0</v>
      </c>
      <c r="AU7" s="3">
        <v>0.0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>
        <v>0.0</v>
      </c>
      <c r="BC7" s="3">
        <v>0.0</v>
      </c>
      <c r="BD7" s="3">
        <v>0.0</v>
      </c>
      <c r="BE7" s="3">
        <v>0.0</v>
      </c>
      <c r="BF7" s="3"/>
      <c r="BG7" s="3"/>
    </row>
    <row r="8">
      <c r="A8" s="3" t="s">
        <v>58</v>
      </c>
      <c r="B8" s="3">
        <v>3.0</v>
      </c>
      <c r="C8" s="3">
        <v>0.0</v>
      </c>
      <c r="D8" s="3">
        <v>0.0</v>
      </c>
      <c r="E8" s="3">
        <v>0.0</v>
      </c>
      <c r="F8" s="3">
        <v>0.0</v>
      </c>
      <c r="G8" s="3">
        <v>3.0</v>
      </c>
      <c r="H8" s="3">
        <v>3.0</v>
      </c>
      <c r="I8" s="3">
        <v>0.0</v>
      </c>
      <c r="J8" s="3">
        <v>0.0</v>
      </c>
      <c r="K8" s="3">
        <v>0.0</v>
      </c>
      <c r="L8" s="3">
        <v>0.0</v>
      </c>
      <c r="M8" s="3">
        <v>0.0</v>
      </c>
      <c r="N8" s="3">
        <v>0.0</v>
      </c>
      <c r="O8" s="3">
        <v>0.0</v>
      </c>
      <c r="P8" s="3">
        <v>0.0</v>
      </c>
      <c r="Q8" s="3">
        <v>0.0</v>
      </c>
      <c r="R8" s="3">
        <v>0.0</v>
      </c>
      <c r="S8" s="3">
        <v>0.0</v>
      </c>
      <c r="T8" s="3">
        <v>0.0</v>
      </c>
      <c r="U8" s="3">
        <v>0.0</v>
      </c>
      <c r="V8" s="3">
        <v>0.0</v>
      </c>
      <c r="W8" s="3">
        <v>0.0</v>
      </c>
      <c r="X8" s="3">
        <v>0.0</v>
      </c>
      <c r="Y8" s="3">
        <v>0.0</v>
      </c>
      <c r="Z8" s="3">
        <v>0.0</v>
      </c>
      <c r="AA8" s="3">
        <v>0.0</v>
      </c>
      <c r="AB8" s="3">
        <v>0.0</v>
      </c>
      <c r="AC8" s="3">
        <v>0.0</v>
      </c>
      <c r="AD8" s="3">
        <v>0.0</v>
      </c>
      <c r="AE8" s="3">
        <v>0.0</v>
      </c>
      <c r="AF8" s="3">
        <v>0.0</v>
      </c>
      <c r="AG8" s="3">
        <v>0.0</v>
      </c>
      <c r="AH8" s="3">
        <v>0.0</v>
      </c>
      <c r="AI8" s="3">
        <v>0.0</v>
      </c>
      <c r="AJ8" s="3">
        <v>1.0</v>
      </c>
      <c r="AK8" s="3">
        <v>0.0</v>
      </c>
      <c r="AL8" s="3">
        <v>0.0</v>
      </c>
      <c r="AM8" s="3">
        <v>0.0</v>
      </c>
      <c r="AN8" s="3">
        <v>0.0</v>
      </c>
      <c r="AO8" s="3">
        <v>0.0</v>
      </c>
      <c r="AP8" s="3">
        <v>0.0</v>
      </c>
      <c r="AQ8" s="3">
        <v>0.0</v>
      </c>
      <c r="AR8" s="3">
        <v>0.0</v>
      </c>
      <c r="AS8" s="3">
        <v>0.0</v>
      </c>
      <c r="AT8" s="3">
        <v>0.0</v>
      </c>
      <c r="AU8" s="3">
        <v>0.0</v>
      </c>
      <c r="AV8" s="3">
        <v>0.0</v>
      </c>
      <c r="AW8" s="3">
        <v>0.0</v>
      </c>
      <c r="AX8" s="3">
        <v>0.0</v>
      </c>
      <c r="AY8" s="3">
        <v>0.0</v>
      </c>
      <c r="AZ8" s="3">
        <v>0.0</v>
      </c>
      <c r="BA8" s="3">
        <v>0.0</v>
      </c>
      <c r="BB8" s="3">
        <v>0.0</v>
      </c>
      <c r="BC8" s="3">
        <v>0.0</v>
      </c>
      <c r="BD8" s="3">
        <v>0.0</v>
      </c>
      <c r="BE8" s="3">
        <v>0.0</v>
      </c>
      <c r="BF8" s="3"/>
      <c r="BG8" s="3"/>
    </row>
    <row r="9">
      <c r="A9" s="3" t="s">
        <v>59</v>
      </c>
      <c r="B9" s="3">
        <v>0.0</v>
      </c>
      <c r="C9" s="3">
        <v>0.0</v>
      </c>
      <c r="D9" s="3">
        <v>0.0</v>
      </c>
      <c r="E9" s="3">
        <v>1.0</v>
      </c>
      <c r="F9" s="3">
        <v>1.0</v>
      </c>
      <c r="G9" s="3">
        <v>1.0</v>
      </c>
      <c r="H9" s="3">
        <v>0.0</v>
      </c>
      <c r="I9" s="3">
        <v>0.0</v>
      </c>
      <c r="J9" s="3">
        <v>0.0</v>
      </c>
      <c r="K9" s="3">
        <v>0.0</v>
      </c>
      <c r="L9" s="3">
        <v>0.0</v>
      </c>
      <c r="M9" s="3">
        <v>0.0</v>
      </c>
      <c r="N9" s="3">
        <v>0.0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3">
        <v>0.0</v>
      </c>
      <c r="X9" s="3">
        <v>0.0</v>
      </c>
      <c r="Y9" s="3">
        <v>0.0</v>
      </c>
      <c r="Z9" s="3">
        <v>0.0</v>
      </c>
      <c r="AA9" s="3">
        <v>0.0</v>
      </c>
      <c r="AB9" s="3">
        <v>0.0</v>
      </c>
      <c r="AC9" s="3">
        <v>0.0</v>
      </c>
      <c r="AD9" s="3">
        <v>0.0</v>
      </c>
      <c r="AE9" s="3">
        <v>0.0</v>
      </c>
      <c r="AF9" s="3">
        <v>1.0</v>
      </c>
      <c r="AG9" s="3">
        <v>0.0</v>
      </c>
      <c r="AH9" s="3">
        <v>0.0</v>
      </c>
      <c r="AI9" s="3">
        <v>0.0</v>
      </c>
      <c r="AJ9" s="3">
        <v>0.0</v>
      </c>
      <c r="AK9" s="3">
        <v>0.0</v>
      </c>
      <c r="AL9" s="3">
        <v>0.0</v>
      </c>
      <c r="AM9" s="3">
        <v>0.0</v>
      </c>
      <c r="AN9" s="3">
        <v>0.0</v>
      </c>
      <c r="AO9" s="3">
        <v>0.0</v>
      </c>
      <c r="AP9" s="3">
        <v>0.0</v>
      </c>
      <c r="AQ9" s="3">
        <v>0.0</v>
      </c>
      <c r="AR9" s="3">
        <v>3.0</v>
      </c>
      <c r="AS9" s="3">
        <v>0.0</v>
      </c>
      <c r="AT9" s="3">
        <v>0.0</v>
      </c>
      <c r="AU9" s="3">
        <v>0.0</v>
      </c>
      <c r="AV9" s="3">
        <v>0.0</v>
      </c>
      <c r="AW9" s="3">
        <v>0.0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>
        <v>0.0</v>
      </c>
      <c r="BE9" s="3">
        <v>4.0</v>
      </c>
      <c r="BF9" s="3"/>
      <c r="BG9" s="3"/>
    </row>
    <row r="10">
      <c r="A10" s="3" t="s">
        <v>118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>
        <v>1.0</v>
      </c>
      <c r="AS10" s="3">
        <v>0.0</v>
      </c>
      <c r="AT10" s="3">
        <v>0.0</v>
      </c>
      <c r="AU10" s="3">
        <v>0.0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>
        <v>0.0</v>
      </c>
      <c r="BE10" s="3">
        <v>0.0</v>
      </c>
      <c r="BF10" s="3"/>
      <c r="BG10" s="3"/>
    </row>
    <row r="11">
      <c r="A11" s="3" t="s">
        <v>37</v>
      </c>
      <c r="B11" s="3">
        <v>0.0</v>
      </c>
      <c r="C11" s="3">
        <v>0.0</v>
      </c>
      <c r="D11" s="3">
        <v>0.0</v>
      </c>
      <c r="E11" s="3">
        <v>0.0</v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1.0</v>
      </c>
      <c r="M11" s="3">
        <v>0.0</v>
      </c>
      <c r="N11" s="3">
        <v>21.0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6.0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>
        <v>0.0</v>
      </c>
      <c r="AK11" s="3">
        <v>0.0</v>
      </c>
      <c r="AL11" s="3">
        <v>0.0</v>
      </c>
      <c r="AM11" s="3">
        <v>0.0</v>
      </c>
      <c r="AN11" s="3">
        <v>0.0</v>
      </c>
      <c r="AO11" s="3">
        <v>0.0</v>
      </c>
      <c r="AP11" s="3">
        <v>0.0</v>
      </c>
      <c r="AQ11" s="3">
        <v>0.0</v>
      </c>
      <c r="AR11" s="3">
        <v>0.0</v>
      </c>
      <c r="AS11" s="3">
        <v>0.0</v>
      </c>
      <c r="AT11" s="3">
        <v>0.0</v>
      </c>
      <c r="AU11" s="3">
        <v>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>
        <v>0.0</v>
      </c>
      <c r="BC11" s="3">
        <v>0.0</v>
      </c>
      <c r="BD11" s="3">
        <v>0.0</v>
      </c>
      <c r="BE11" s="3">
        <v>0.0</v>
      </c>
      <c r="BF11" s="3"/>
      <c r="BG11" s="3"/>
    </row>
    <row r="12">
      <c r="A12" s="3" t="s">
        <v>119</v>
      </c>
      <c r="B12" s="3">
        <v>0.0</v>
      </c>
      <c r="C12" s="3">
        <v>0.0</v>
      </c>
      <c r="D12" s="3">
        <v>0.0</v>
      </c>
      <c r="E12" s="3">
        <v>0.0</v>
      </c>
      <c r="F12" s="3">
        <v>0.0</v>
      </c>
      <c r="G12" s="3">
        <v>0.0</v>
      </c>
      <c r="H12" s="3">
        <v>3.0</v>
      </c>
      <c r="I12" s="3">
        <v>0.0</v>
      </c>
      <c r="J12" s="3">
        <v>1.0</v>
      </c>
      <c r="K12" s="3">
        <v>1.0</v>
      </c>
      <c r="L12" s="3">
        <v>5.0</v>
      </c>
      <c r="M12" s="3">
        <v>1.0</v>
      </c>
      <c r="N12" s="3">
        <v>1.0</v>
      </c>
      <c r="O12" s="3">
        <v>0.0</v>
      </c>
      <c r="P12" s="3">
        <v>1.0</v>
      </c>
      <c r="Q12" s="3">
        <v>0.0</v>
      </c>
      <c r="R12" s="3">
        <v>1.0</v>
      </c>
      <c r="S12" s="3">
        <v>0.0</v>
      </c>
      <c r="T12" s="3">
        <v>1.0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2.0</v>
      </c>
      <c r="AB12" s="3">
        <v>0.0</v>
      </c>
      <c r="AC12" s="3">
        <v>0.0</v>
      </c>
      <c r="AD12" s="3">
        <v>2.0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>
        <v>0.0</v>
      </c>
      <c r="AK12" s="3">
        <v>0.0</v>
      </c>
      <c r="AL12" s="3">
        <v>0.0</v>
      </c>
      <c r="AM12" s="3">
        <v>0.0</v>
      </c>
      <c r="AN12" s="3">
        <v>5.0</v>
      </c>
      <c r="AO12" s="3">
        <v>0.0</v>
      </c>
      <c r="AP12" s="3">
        <v>0.0</v>
      </c>
      <c r="AQ12" s="3">
        <v>1.0</v>
      </c>
      <c r="AR12" s="3">
        <v>0.0</v>
      </c>
      <c r="AS12" s="3">
        <v>0.0</v>
      </c>
      <c r="AT12" s="3">
        <v>4.0</v>
      </c>
      <c r="AU12" s="3">
        <v>7.0</v>
      </c>
      <c r="AV12" s="3">
        <v>0.0</v>
      </c>
      <c r="AW12" s="3">
        <v>0.0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>
        <v>0.0</v>
      </c>
      <c r="BE12" s="3">
        <v>0.0</v>
      </c>
      <c r="BF12" s="3"/>
      <c r="BG12" s="3"/>
    </row>
    <row r="13">
      <c r="A13" s="3" t="s">
        <v>62</v>
      </c>
      <c r="B13" s="3">
        <v>7.0</v>
      </c>
      <c r="C13" s="3">
        <v>1.0</v>
      </c>
      <c r="D13" s="3">
        <v>1.0</v>
      </c>
      <c r="E13" s="3">
        <v>0.0</v>
      </c>
      <c r="F13" s="3">
        <v>0.0</v>
      </c>
      <c r="G13" s="3">
        <v>0.0</v>
      </c>
      <c r="H13" s="3">
        <v>4.0</v>
      </c>
      <c r="I13" s="3">
        <v>1.0</v>
      </c>
      <c r="J13" s="3">
        <v>7.0</v>
      </c>
      <c r="K13" s="3">
        <v>0.0</v>
      </c>
      <c r="L13" s="3">
        <v>9.0</v>
      </c>
      <c r="M13" s="3">
        <v>5.0</v>
      </c>
      <c r="N13" s="3">
        <v>5.0</v>
      </c>
      <c r="O13" s="3">
        <v>1.0</v>
      </c>
      <c r="P13" s="3">
        <v>0.0</v>
      </c>
      <c r="Q13" s="3">
        <v>3.0</v>
      </c>
      <c r="R13" s="3">
        <v>0.0</v>
      </c>
      <c r="S13" s="3">
        <v>0.0</v>
      </c>
      <c r="T13" s="3">
        <v>2.0</v>
      </c>
      <c r="U13" s="3">
        <v>0.0</v>
      </c>
      <c r="V13" s="3">
        <v>0.0</v>
      </c>
      <c r="W13" s="3">
        <v>15.0</v>
      </c>
      <c r="X13" s="3">
        <v>0.0</v>
      </c>
      <c r="Y13" s="3">
        <v>0.0</v>
      </c>
      <c r="Z13" s="3">
        <v>1.0</v>
      </c>
      <c r="AA13" s="3">
        <v>0.0</v>
      </c>
      <c r="AB13" s="3">
        <v>0.0</v>
      </c>
      <c r="AC13" s="3">
        <v>3.0</v>
      </c>
      <c r="AD13" s="3">
        <v>1.0</v>
      </c>
      <c r="AE13" s="3">
        <v>0.0</v>
      </c>
      <c r="AF13" s="3">
        <v>4.0</v>
      </c>
      <c r="AG13" s="3">
        <v>0.0</v>
      </c>
      <c r="AH13" s="3">
        <v>4.0</v>
      </c>
      <c r="AI13" s="3">
        <v>0.0</v>
      </c>
      <c r="AJ13" s="3">
        <v>0.0</v>
      </c>
      <c r="AK13" s="3">
        <v>0.0</v>
      </c>
      <c r="AL13" s="3">
        <v>0.0</v>
      </c>
      <c r="AM13" s="3">
        <v>5.0</v>
      </c>
      <c r="AN13" s="3">
        <v>1.0</v>
      </c>
      <c r="AO13" s="3">
        <v>0.0</v>
      </c>
      <c r="AP13" s="3">
        <v>0.0</v>
      </c>
      <c r="AQ13" s="3">
        <v>0.0</v>
      </c>
      <c r="AR13" s="3">
        <v>1.0</v>
      </c>
      <c r="AS13" s="3">
        <v>0.0</v>
      </c>
      <c r="AT13" s="3">
        <v>0.0</v>
      </c>
      <c r="AU13" s="3">
        <v>0.0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>
        <v>1.0</v>
      </c>
      <c r="BC13" s="3">
        <v>0.0</v>
      </c>
      <c r="BD13" s="3">
        <v>5.0</v>
      </c>
      <c r="BE13" s="3">
        <v>0.0</v>
      </c>
      <c r="BF13" s="3"/>
      <c r="BG13" s="3"/>
    </row>
    <row r="14">
      <c r="A14" s="3" t="s">
        <v>120</v>
      </c>
      <c r="B14" s="3">
        <v>1.0</v>
      </c>
      <c r="C14" s="3">
        <v>0.0</v>
      </c>
      <c r="D14" s="3">
        <v>7.0</v>
      </c>
      <c r="E14" s="3">
        <v>0.0</v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>
        <v>0.0</v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>
        <v>0.0</v>
      </c>
      <c r="AK14" s="3">
        <v>0.0</v>
      </c>
      <c r="AL14" s="3">
        <v>0.0</v>
      </c>
      <c r="AM14" s="3">
        <v>0.0</v>
      </c>
      <c r="AN14" s="3">
        <v>0.0</v>
      </c>
      <c r="AO14" s="3">
        <v>0.0</v>
      </c>
      <c r="AP14" s="3">
        <v>0.0</v>
      </c>
      <c r="AQ14" s="3">
        <v>0.0</v>
      </c>
      <c r="AR14" s="3">
        <v>0.0</v>
      </c>
      <c r="AS14" s="3">
        <v>0.0</v>
      </c>
      <c r="AT14" s="3">
        <v>0.0</v>
      </c>
      <c r="AU14" s="3">
        <v>0.0</v>
      </c>
      <c r="AV14" s="3">
        <v>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>
        <v>0.0</v>
      </c>
      <c r="BE14" s="3">
        <v>0.0</v>
      </c>
      <c r="BF14" s="3"/>
      <c r="BG14" s="3"/>
    </row>
    <row r="15">
      <c r="A15" s="3" t="s">
        <v>121</v>
      </c>
      <c r="B15" s="3">
        <v>5.0</v>
      </c>
      <c r="C15" s="3">
        <v>2.0</v>
      </c>
      <c r="D15" s="3">
        <v>4.0</v>
      </c>
      <c r="E15" s="3">
        <v>0.0</v>
      </c>
      <c r="F15" s="3">
        <v>0.0</v>
      </c>
      <c r="G15" s="3">
        <v>1.0</v>
      </c>
      <c r="H15" s="3">
        <v>1.0</v>
      </c>
      <c r="I15" s="3">
        <v>2.0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>
        <v>0.0</v>
      </c>
      <c r="Q15" s="3">
        <v>0.0</v>
      </c>
      <c r="R15" s="3">
        <v>0.0</v>
      </c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1.0</v>
      </c>
      <c r="AF15" s="3">
        <v>1.0</v>
      </c>
      <c r="AG15" s="3">
        <v>0.0</v>
      </c>
      <c r="AH15" s="3">
        <v>0.0</v>
      </c>
      <c r="AI15" s="3">
        <v>0.0</v>
      </c>
      <c r="AJ15" s="3">
        <v>0.0</v>
      </c>
      <c r="AK15" s="3">
        <v>0.0</v>
      </c>
      <c r="AL15" s="3">
        <v>0.0</v>
      </c>
      <c r="AM15" s="3">
        <v>0.0</v>
      </c>
      <c r="AN15" s="3">
        <v>0.0</v>
      </c>
      <c r="AO15" s="3">
        <v>0.0</v>
      </c>
      <c r="AP15" s="3">
        <v>0.0</v>
      </c>
      <c r="AQ15" s="3">
        <v>0.0</v>
      </c>
      <c r="AR15" s="3">
        <v>0.0</v>
      </c>
      <c r="AS15" s="3">
        <v>0.0</v>
      </c>
      <c r="AT15" s="3">
        <v>0.0</v>
      </c>
      <c r="AU15" s="3">
        <v>0.0</v>
      </c>
      <c r="AV15" s="3">
        <v>0.0</v>
      </c>
      <c r="AW15" s="3">
        <v>0.0</v>
      </c>
      <c r="AX15" s="3">
        <v>3.0</v>
      </c>
      <c r="AY15" s="3">
        <v>4.0</v>
      </c>
      <c r="AZ15" s="3">
        <v>0.0</v>
      </c>
      <c r="BA15" s="3">
        <v>0.0</v>
      </c>
      <c r="BB15" s="3">
        <v>0.0</v>
      </c>
      <c r="BC15" s="3">
        <v>2.0</v>
      </c>
      <c r="BD15" s="3">
        <v>2.0</v>
      </c>
      <c r="BE15" s="3">
        <v>2.0</v>
      </c>
      <c r="BF15" s="3"/>
      <c r="BG15" s="3"/>
    </row>
    <row r="16">
      <c r="A16" s="3" t="s">
        <v>122</v>
      </c>
      <c r="B16" s="3">
        <v>1.0</v>
      </c>
      <c r="C16" s="3">
        <v>0.0</v>
      </c>
      <c r="D16" s="3">
        <v>0.0</v>
      </c>
      <c r="E16" s="3">
        <v>0.0</v>
      </c>
      <c r="F16" s="3">
        <v>0.0</v>
      </c>
      <c r="G16" s="3">
        <v>1.0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0.0</v>
      </c>
      <c r="N16" s="3">
        <v>0.0</v>
      </c>
      <c r="O16" s="3">
        <v>0.0</v>
      </c>
      <c r="P16" s="3">
        <v>0.0</v>
      </c>
      <c r="Q16" s="3">
        <v>0.0</v>
      </c>
      <c r="R16" s="3">
        <v>0.0</v>
      </c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>
        <v>0.0</v>
      </c>
      <c r="AK16" s="3">
        <v>0.0</v>
      </c>
      <c r="AL16" s="3">
        <v>0.0</v>
      </c>
      <c r="AM16" s="3">
        <v>0.0</v>
      </c>
      <c r="AN16" s="3">
        <v>0.0</v>
      </c>
      <c r="AO16" s="3">
        <v>0.0</v>
      </c>
      <c r="AP16" s="3">
        <v>0.0</v>
      </c>
      <c r="AQ16" s="3">
        <v>0.0</v>
      </c>
      <c r="AR16" s="3">
        <v>0.0</v>
      </c>
      <c r="AS16" s="3">
        <v>0.0</v>
      </c>
      <c r="AT16" s="3">
        <v>0.0</v>
      </c>
      <c r="AU16" s="3">
        <v>0.0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>
        <v>0.0</v>
      </c>
      <c r="BE16" s="3">
        <v>0.0</v>
      </c>
      <c r="BF16" s="3"/>
      <c r="BG16" s="3"/>
    </row>
    <row r="17">
      <c r="A17" s="3" t="s">
        <v>123</v>
      </c>
      <c r="B17" s="3">
        <v>0.0</v>
      </c>
      <c r="C17" s="3">
        <v>0.0</v>
      </c>
      <c r="D17" s="3">
        <v>0.0</v>
      </c>
      <c r="E17" s="3">
        <v>0.0</v>
      </c>
      <c r="F17" s="3">
        <v>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0.0</v>
      </c>
      <c r="N17" s="3">
        <v>0.0</v>
      </c>
      <c r="O17" s="3">
        <v>0.0</v>
      </c>
      <c r="P17" s="3">
        <v>0.0</v>
      </c>
      <c r="Q17" s="3">
        <v>0.0</v>
      </c>
      <c r="R17" s="3">
        <v>0.0</v>
      </c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>
        <v>0.0</v>
      </c>
      <c r="AK17" s="3">
        <v>0.0</v>
      </c>
      <c r="AL17" s="3">
        <v>1.0</v>
      </c>
      <c r="AM17" s="3">
        <v>0.0</v>
      </c>
      <c r="AN17" s="3">
        <v>0.0</v>
      </c>
      <c r="AO17" s="3">
        <v>0.0</v>
      </c>
      <c r="AP17" s="3">
        <v>0.0</v>
      </c>
      <c r="AQ17" s="3">
        <v>0.0</v>
      </c>
      <c r="AR17" s="3">
        <v>0.0</v>
      </c>
      <c r="AS17" s="3">
        <v>0.0</v>
      </c>
      <c r="AT17" s="3">
        <v>0.0</v>
      </c>
      <c r="AU17" s="3">
        <v>0.0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2.0</v>
      </c>
      <c r="BD17" s="3">
        <v>0.0</v>
      </c>
      <c r="BE17" s="3">
        <v>0.0</v>
      </c>
      <c r="BF17" s="3"/>
      <c r="BG17" s="3"/>
    </row>
    <row r="18">
      <c r="A18" s="3" t="s">
        <v>124</v>
      </c>
      <c r="B18" s="3">
        <v>0.0</v>
      </c>
      <c r="C18" s="3">
        <v>3.0</v>
      </c>
      <c r="D18" s="3">
        <v>0.0</v>
      </c>
      <c r="E18" s="3">
        <v>0.0</v>
      </c>
      <c r="F18" s="3">
        <v>0.0</v>
      </c>
      <c r="G18" s="3">
        <v>0.0</v>
      </c>
      <c r="H18" s="3">
        <v>0.0</v>
      </c>
      <c r="I18" s="3">
        <v>0.0</v>
      </c>
      <c r="J18" s="3">
        <v>2.0</v>
      </c>
      <c r="K18" s="3">
        <v>0.0</v>
      </c>
      <c r="L18" s="3">
        <v>0.0</v>
      </c>
      <c r="M18" s="3">
        <v>0.0</v>
      </c>
      <c r="N18" s="3">
        <v>0.0</v>
      </c>
      <c r="O18" s="3">
        <v>0.0</v>
      </c>
      <c r="P18" s="3">
        <v>0.0</v>
      </c>
      <c r="Q18" s="3">
        <v>0.0</v>
      </c>
      <c r="R18" s="3">
        <v>0.0</v>
      </c>
      <c r="S18" s="3">
        <v>0.0</v>
      </c>
      <c r="T18" s="3">
        <v>0.0</v>
      </c>
      <c r="U18" s="3">
        <v>0.0</v>
      </c>
      <c r="V18" s="3">
        <v>3.0</v>
      </c>
      <c r="W18" s="3">
        <v>6.0</v>
      </c>
      <c r="X18" s="3">
        <v>0.0</v>
      </c>
      <c r="Y18" s="3">
        <v>2.0</v>
      </c>
      <c r="Z18" s="3">
        <v>4.0</v>
      </c>
      <c r="AA18" s="3">
        <v>5.0</v>
      </c>
      <c r="AB18" s="3">
        <v>2.0</v>
      </c>
      <c r="AC18" s="3">
        <v>1.0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>
        <v>0.0</v>
      </c>
      <c r="AK18" s="3">
        <v>0.0</v>
      </c>
      <c r="AL18" s="3">
        <v>0.0</v>
      </c>
      <c r="AM18" s="3">
        <v>0.0</v>
      </c>
      <c r="AN18" s="3">
        <v>0.0</v>
      </c>
      <c r="AO18" s="3">
        <v>0.0</v>
      </c>
      <c r="AP18" s="3">
        <v>0.0</v>
      </c>
      <c r="AQ18" s="3">
        <v>0.0</v>
      </c>
      <c r="AR18" s="3">
        <v>0.0</v>
      </c>
      <c r="AS18" s="3">
        <v>4.0</v>
      </c>
      <c r="AT18" s="3">
        <v>0.0</v>
      </c>
      <c r="AU18" s="3">
        <v>0.0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>
        <v>0.0</v>
      </c>
      <c r="BE18" s="3">
        <v>0.0</v>
      </c>
      <c r="BF18" s="3"/>
      <c r="BG18" s="3"/>
    </row>
    <row r="19">
      <c r="A19" s="3" t="s">
        <v>125</v>
      </c>
      <c r="B19" s="3">
        <v>0.0</v>
      </c>
      <c r="C19" s="3">
        <v>0.0</v>
      </c>
      <c r="D19" s="3">
        <v>0.0</v>
      </c>
      <c r="E19" s="3">
        <v>0.0</v>
      </c>
      <c r="F19" s="3">
        <v>0.0</v>
      </c>
      <c r="G19" s="3">
        <v>0.0</v>
      </c>
      <c r="H19" s="3">
        <v>0.0</v>
      </c>
      <c r="I19" s="3">
        <v>0.0</v>
      </c>
      <c r="J19" s="3">
        <v>0.0</v>
      </c>
      <c r="K19" s="3">
        <v>0.0</v>
      </c>
      <c r="L19" s="3">
        <v>0.0</v>
      </c>
      <c r="M19" s="3">
        <v>0.0</v>
      </c>
      <c r="N19" s="3">
        <v>0.0</v>
      </c>
      <c r="O19" s="3">
        <v>0.0</v>
      </c>
      <c r="P19" s="3">
        <v>0.0</v>
      </c>
      <c r="Q19" s="3">
        <v>0.0</v>
      </c>
      <c r="R19" s="3">
        <v>0.0</v>
      </c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1.0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>
        <v>0.0</v>
      </c>
      <c r="AK19" s="3">
        <v>0.0</v>
      </c>
      <c r="AL19" s="3">
        <v>0.0</v>
      </c>
      <c r="AM19" s="3">
        <v>0.0</v>
      </c>
      <c r="AN19" s="3">
        <v>0.0</v>
      </c>
      <c r="AO19" s="3">
        <v>0.0</v>
      </c>
      <c r="AP19" s="3">
        <v>0.0</v>
      </c>
      <c r="AQ19" s="3">
        <v>0.0</v>
      </c>
      <c r="AR19" s="3">
        <v>0.0</v>
      </c>
      <c r="AS19" s="3">
        <v>0.0</v>
      </c>
      <c r="AT19" s="3">
        <v>0.0</v>
      </c>
      <c r="AU19" s="3">
        <v>0.0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D19" s="3">
        <v>0.0</v>
      </c>
      <c r="BE19" s="3">
        <v>0.0</v>
      </c>
      <c r="BF19" s="3"/>
      <c r="BG19" s="3"/>
    </row>
    <row r="20">
      <c r="A20" s="3" t="s">
        <v>126</v>
      </c>
      <c r="B20" s="3">
        <v>2.0</v>
      </c>
      <c r="C20" s="3">
        <v>0.0</v>
      </c>
      <c r="D20" s="3">
        <v>0.0</v>
      </c>
      <c r="E20" s="3">
        <v>0.0</v>
      </c>
      <c r="F20" s="3">
        <v>0.0</v>
      </c>
      <c r="G20" s="3">
        <v>0.0</v>
      </c>
      <c r="H20" s="3">
        <v>0.0</v>
      </c>
      <c r="I20" s="3">
        <v>0.0</v>
      </c>
      <c r="J20" s="3">
        <v>0.0</v>
      </c>
      <c r="K20" s="3">
        <v>0.0</v>
      </c>
      <c r="L20" s="3">
        <v>0.0</v>
      </c>
      <c r="M20" s="3">
        <v>0.0</v>
      </c>
      <c r="N20" s="3">
        <v>0.0</v>
      </c>
      <c r="O20" s="3">
        <v>0.0</v>
      </c>
      <c r="P20" s="3">
        <v>0.0</v>
      </c>
      <c r="Q20" s="3">
        <v>0.0</v>
      </c>
      <c r="R20" s="3">
        <v>0.0</v>
      </c>
      <c r="S20" s="3">
        <v>0.0</v>
      </c>
      <c r="T20" s="3">
        <v>0.0</v>
      </c>
      <c r="U20" s="3">
        <v>0.0</v>
      </c>
      <c r="V20" s="3">
        <v>0.0</v>
      </c>
      <c r="W20" s="3">
        <v>0.0</v>
      </c>
      <c r="X20" s="3">
        <v>0.0</v>
      </c>
      <c r="Y20" s="3">
        <v>0.0</v>
      </c>
      <c r="Z20" s="3">
        <v>0.0</v>
      </c>
      <c r="AA20" s="3">
        <v>0.0</v>
      </c>
      <c r="AB20" s="3">
        <v>0.0</v>
      </c>
      <c r="AC20" s="3">
        <v>0.0</v>
      </c>
      <c r="AD20" s="3">
        <v>0.0</v>
      </c>
      <c r="AE20" s="3">
        <v>0.0</v>
      </c>
      <c r="AF20" s="3">
        <v>0.0</v>
      </c>
      <c r="AG20" s="3">
        <v>0.0</v>
      </c>
      <c r="AH20" s="3">
        <v>0.0</v>
      </c>
      <c r="AI20" s="3">
        <v>0.0</v>
      </c>
      <c r="AJ20" s="3">
        <v>0.0</v>
      </c>
      <c r="AK20" s="3">
        <v>0.0</v>
      </c>
      <c r="AL20" s="3">
        <v>0.0</v>
      </c>
      <c r="AM20" s="3">
        <v>0.0</v>
      </c>
      <c r="AN20" s="3">
        <v>0.0</v>
      </c>
      <c r="AO20" s="3">
        <v>0.0</v>
      </c>
      <c r="AP20" s="3">
        <v>0.0</v>
      </c>
      <c r="AQ20" s="3">
        <v>0.0</v>
      </c>
      <c r="AR20" s="3">
        <v>0.0</v>
      </c>
      <c r="AS20" s="3">
        <v>0.0</v>
      </c>
      <c r="AT20" s="3">
        <v>0.0</v>
      </c>
      <c r="AU20" s="3">
        <v>0.0</v>
      </c>
      <c r="AV20" s="3">
        <v>0.0</v>
      </c>
      <c r="AW20" s="3">
        <v>0.0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>
        <v>0.0</v>
      </c>
      <c r="BE20" s="3">
        <v>0.0</v>
      </c>
      <c r="BF20" s="3"/>
      <c r="BG20" s="3"/>
    </row>
    <row r="21">
      <c r="A21" s="3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3">
        <v>5.0</v>
      </c>
      <c r="I21" s="22">
        <v>0.0</v>
      </c>
      <c r="J21" s="33">
        <v>2.0</v>
      </c>
      <c r="K21" s="33">
        <v>6.0</v>
      </c>
      <c r="L21" s="22">
        <v>0.0</v>
      </c>
      <c r="M21" s="33">
        <v>10.0</v>
      </c>
      <c r="N21" s="15">
        <v>18.0</v>
      </c>
      <c r="O21" s="15">
        <v>4.0</v>
      </c>
      <c r="P21" s="15">
        <v>12.0</v>
      </c>
      <c r="Q21" s="15">
        <v>15.0</v>
      </c>
      <c r="R21" s="15">
        <v>2.0</v>
      </c>
      <c r="S21" s="15">
        <v>5.0</v>
      </c>
      <c r="T21" s="15">
        <v>4.0</v>
      </c>
      <c r="U21" s="15">
        <v>13.0</v>
      </c>
      <c r="V21" s="15">
        <v>6.0</v>
      </c>
      <c r="W21" s="15">
        <v>2.0</v>
      </c>
      <c r="X21" s="15">
        <v>3.0</v>
      </c>
      <c r="Y21" s="15">
        <v>9.0</v>
      </c>
      <c r="Z21" s="15">
        <v>2.0</v>
      </c>
      <c r="AA21" s="15">
        <v>1.0</v>
      </c>
      <c r="AB21" s="15">
        <v>1.0</v>
      </c>
      <c r="AC21" s="33">
        <v>0.0</v>
      </c>
      <c r="AD21" s="33">
        <v>0.0</v>
      </c>
      <c r="AE21" s="33">
        <v>4.0</v>
      </c>
      <c r="AF21" s="33">
        <v>2.0</v>
      </c>
      <c r="AG21" s="33">
        <v>3.0</v>
      </c>
      <c r="AH21" s="22">
        <v>1.0</v>
      </c>
      <c r="AI21" s="3">
        <v>0.0</v>
      </c>
      <c r="AJ21" s="3">
        <v>1.0</v>
      </c>
      <c r="AK21" s="3">
        <v>2.0</v>
      </c>
      <c r="AL21" s="3">
        <v>2.0</v>
      </c>
      <c r="AM21" s="3">
        <v>0.0</v>
      </c>
      <c r="AN21" s="3">
        <v>1.0</v>
      </c>
      <c r="AO21" s="3">
        <v>2.0</v>
      </c>
      <c r="AP21" s="3">
        <v>0.0</v>
      </c>
      <c r="AQ21" s="3">
        <v>3.0</v>
      </c>
      <c r="AR21" s="3">
        <v>0.0</v>
      </c>
      <c r="AS21" s="3">
        <v>2.0</v>
      </c>
      <c r="AT21" s="3">
        <v>0.0</v>
      </c>
      <c r="AU21" s="3">
        <v>0.0</v>
      </c>
      <c r="AV21" s="3">
        <v>0.0</v>
      </c>
      <c r="AW21" s="3">
        <v>0.0</v>
      </c>
      <c r="AX21" s="3">
        <v>0.0</v>
      </c>
      <c r="AY21" s="3">
        <v>2.0</v>
      </c>
      <c r="AZ21" s="3">
        <v>0.0</v>
      </c>
      <c r="BA21" s="3">
        <v>1.0</v>
      </c>
      <c r="BB21" s="3">
        <v>4.0</v>
      </c>
      <c r="BC21" s="3">
        <v>1.0</v>
      </c>
      <c r="BD21" s="3">
        <v>0.0</v>
      </c>
      <c r="BE21" s="3">
        <v>0.0</v>
      </c>
      <c r="BF21" s="3"/>
      <c r="BG21" s="3"/>
    </row>
    <row r="22">
      <c r="A22" s="3" t="s">
        <v>128</v>
      </c>
      <c r="B22" s="3">
        <v>128.0</v>
      </c>
      <c r="C22" s="3">
        <v>107.0</v>
      </c>
      <c r="D22" s="3">
        <v>143.0</v>
      </c>
      <c r="E22" s="3">
        <v>110.0</v>
      </c>
      <c r="F22" s="3">
        <v>219.0</v>
      </c>
      <c r="G22" s="3">
        <v>70.0</v>
      </c>
      <c r="H22" s="3">
        <v>84.0</v>
      </c>
      <c r="I22" s="3">
        <v>128.0</v>
      </c>
      <c r="J22" s="3">
        <v>113.0</v>
      </c>
      <c r="K22" s="3">
        <v>116.0</v>
      </c>
      <c r="L22" s="3">
        <v>116.0</v>
      </c>
      <c r="M22" s="3">
        <v>254.0</v>
      </c>
      <c r="N22" s="3">
        <v>381.0</v>
      </c>
      <c r="O22" s="3">
        <v>113.0</v>
      </c>
      <c r="P22" s="3">
        <v>257.0</v>
      </c>
      <c r="Q22" s="3">
        <v>280.0</v>
      </c>
      <c r="R22" s="3">
        <v>404.0</v>
      </c>
      <c r="S22" s="3">
        <v>135.0</v>
      </c>
      <c r="T22" s="3">
        <v>129.0</v>
      </c>
      <c r="U22" s="3">
        <v>132.0</v>
      </c>
      <c r="V22" s="3">
        <v>85.0</v>
      </c>
      <c r="W22" s="3">
        <v>104.0</v>
      </c>
      <c r="X22" s="3">
        <v>79.0</v>
      </c>
      <c r="Y22" s="3">
        <v>108.0</v>
      </c>
      <c r="Z22" s="3">
        <v>138.0</v>
      </c>
      <c r="AA22" s="3">
        <v>80.0</v>
      </c>
      <c r="AB22" s="3">
        <v>104.0</v>
      </c>
      <c r="AC22" s="3">
        <v>76.0</v>
      </c>
      <c r="AD22" s="3">
        <v>53.0</v>
      </c>
      <c r="AE22" s="3">
        <v>36.0</v>
      </c>
      <c r="AF22" s="3">
        <v>13.0</v>
      </c>
      <c r="AG22" s="3">
        <v>32.0</v>
      </c>
      <c r="AH22" s="3">
        <v>10.0</v>
      </c>
      <c r="AI22" s="3">
        <v>15.0</v>
      </c>
      <c r="AJ22" s="3">
        <v>3.0</v>
      </c>
      <c r="AK22" s="3">
        <v>6.0</v>
      </c>
      <c r="AL22" s="3">
        <v>9.0</v>
      </c>
      <c r="AM22" s="3">
        <v>2.0</v>
      </c>
      <c r="AN22" s="3">
        <v>5.0</v>
      </c>
      <c r="AO22" s="3">
        <v>16.0</v>
      </c>
      <c r="AP22" s="3">
        <v>1.0</v>
      </c>
      <c r="AQ22" s="3">
        <v>4.0</v>
      </c>
      <c r="AR22" s="3">
        <v>10.0</v>
      </c>
      <c r="AS22" s="3">
        <v>18.0</v>
      </c>
      <c r="AT22" s="3">
        <v>5.0</v>
      </c>
      <c r="AU22" s="3">
        <v>3.0</v>
      </c>
      <c r="AV22" s="3">
        <v>3.0</v>
      </c>
      <c r="AW22" s="3">
        <v>4.0</v>
      </c>
      <c r="AX22" s="3">
        <v>2.0</v>
      </c>
      <c r="AY22" s="3">
        <v>4.0</v>
      </c>
      <c r="AZ22" s="3">
        <v>19.0</v>
      </c>
      <c r="BA22" s="3">
        <v>0.0</v>
      </c>
      <c r="BB22" s="3">
        <v>0.0</v>
      </c>
      <c r="BC22" s="3">
        <v>0.0</v>
      </c>
      <c r="BD22" s="3">
        <v>1.0</v>
      </c>
      <c r="BE22" s="3">
        <v>0.0</v>
      </c>
      <c r="BF22" s="3"/>
      <c r="BG22" s="3"/>
    </row>
    <row r="23">
      <c r="B23" s="28"/>
      <c r="E23" s="14"/>
      <c r="F23" s="14"/>
      <c r="I23" s="14"/>
      <c r="L23" s="28"/>
      <c r="M23" s="15"/>
      <c r="P23" s="14"/>
      <c r="Q23" s="15"/>
      <c r="R23" s="25"/>
      <c r="S23" s="28"/>
      <c r="Y23" s="15"/>
      <c r="Z23" s="44"/>
      <c r="AA23" s="28"/>
      <c r="AW23" s="37" t="s">
        <v>129</v>
      </c>
      <c r="AX23" s="37"/>
      <c r="AY23" s="37"/>
      <c r="AZ23" s="37"/>
      <c r="BA23" s="37"/>
      <c r="BB23" s="37"/>
      <c r="BC23" s="37"/>
      <c r="BD23" s="37"/>
      <c r="BE23" s="37"/>
      <c r="BF23" s="37"/>
      <c r="BG23" s="37"/>
    </row>
    <row r="24">
      <c r="B24" s="28"/>
      <c r="E24" s="14"/>
      <c r="F24" s="14"/>
      <c r="I24" s="14"/>
      <c r="L24" s="28"/>
      <c r="M24" s="15"/>
      <c r="P24" s="14"/>
      <c r="Q24" s="15"/>
      <c r="R24" s="25"/>
      <c r="S24" s="28"/>
      <c r="Y24" s="15"/>
      <c r="Z24" s="44"/>
      <c r="AA24" s="28"/>
    </row>
    <row r="25">
      <c r="B25" s="28"/>
      <c r="E25" s="14"/>
      <c r="F25" s="14"/>
      <c r="G25" s="28"/>
      <c r="H25" s="15"/>
      <c r="I25" s="14"/>
      <c r="L25" s="28"/>
      <c r="M25" s="15"/>
      <c r="P25" s="14"/>
      <c r="Q25" s="15"/>
      <c r="R25" s="25"/>
      <c r="S25" s="28"/>
      <c r="Y25" s="15"/>
      <c r="Z25" s="44"/>
      <c r="AA25" s="28"/>
      <c r="AB25" s="15"/>
      <c r="AC25" s="25"/>
      <c r="AD25" s="28"/>
      <c r="AE25" s="15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14"/>
      <c r="E26" s="14"/>
      <c r="F26" s="14"/>
      <c r="G26" s="28"/>
      <c r="H26" s="15"/>
      <c r="I26" s="14"/>
      <c r="L26" s="28"/>
      <c r="M26" s="15"/>
      <c r="N26" s="28"/>
      <c r="O26" s="15"/>
      <c r="P26" s="14"/>
      <c r="Q26" s="15"/>
      <c r="R26" s="25"/>
      <c r="S26" s="28"/>
      <c r="AB26" s="44"/>
      <c r="AC26" s="28"/>
      <c r="AD26" s="45"/>
      <c r="AE26" s="15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14"/>
      <c r="F27" s="14"/>
      <c r="G27" s="28"/>
      <c r="H27" s="15"/>
      <c r="I27" s="14"/>
      <c r="L27" s="28"/>
      <c r="M27" s="15"/>
      <c r="N27" s="28"/>
      <c r="O27" s="15"/>
      <c r="P27" s="14"/>
      <c r="Q27" s="15"/>
      <c r="R27" s="44"/>
      <c r="S27" s="28"/>
      <c r="X27" s="14"/>
      <c r="AA27" s="14"/>
      <c r="AB27" s="44"/>
      <c r="AC27" s="25"/>
      <c r="AD27" s="25"/>
    </row>
    <row r="28">
      <c r="B28" s="28"/>
      <c r="E28" s="14"/>
      <c r="F28" s="14"/>
      <c r="G28" s="28"/>
      <c r="H28" s="15"/>
      <c r="L28" s="28"/>
      <c r="M28" s="15"/>
      <c r="N28" s="28"/>
      <c r="O28" s="15"/>
      <c r="P28" s="14"/>
      <c r="Q28" s="15"/>
      <c r="R28" s="44"/>
      <c r="S28" s="28"/>
      <c r="X28" s="14"/>
      <c r="AA28" s="14"/>
      <c r="AB28" s="15"/>
      <c r="AC28" s="25"/>
      <c r="AD28" s="25"/>
    </row>
    <row r="29">
      <c r="B29" s="14"/>
      <c r="C29" s="22"/>
      <c r="E29" s="14"/>
      <c r="F29" s="14"/>
      <c r="G29" s="28"/>
      <c r="H29" s="15"/>
      <c r="L29" s="28"/>
      <c r="M29" s="15"/>
      <c r="N29" s="28"/>
      <c r="O29" s="15"/>
      <c r="P29" s="14"/>
      <c r="Q29" s="15"/>
      <c r="R29" s="44"/>
      <c r="S29" s="28"/>
      <c r="X29" s="14"/>
      <c r="AA29" s="14"/>
      <c r="AC29" s="28"/>
      <c r="AD29" s="15"/>
    </row>
    <row r="30">
      <c r="B30" s="14"/>
      <c r="C30" s="22"/>
      <c r="E30" s="14"/>
      <c r="F30" s="14"/>
      <c r="G30" s="28"/>
      <c r="H30" s="15"/>
      <c r="N30" s="28"/>
      <c r="O30" s="15"/>
      <c r="P30" s="14"/>
      <c r="X30" s="14"/>
      <c r="AA30" s="14"/>
      <c r="AC30" s="28"/>
      <c r="AD30" s="15"/>
    </row>
    <row r="31">
      <c r="B31" s="14"/>
      <c r="C31" s="22"/>
      <c r="E31" s="14"/>
      <c r="F31" s="14"/>
      <c r="G31" s="28"/>
      <c r="H31" s="15"/>
      <c r="N31" s="28"/>
      <c r="O31" s="15"/>
      <c r="P31" s="14"/>
      <c r="X31" s="14"/>
      <c r="AA31" s="14"/>
      <c r="AC31" s="25"/>
      <c r="AD31" s="44"/>
    </row>
    <row r="32">
      <c r="B32" s="14"/>
      <c r="C32" s="22"/>
      <c r="E32" s="14"/>
      <c r="F32" s="14"/>
      <c r="G32" s="28"/>
      <c r="H32" s="15"/>
      <c r="N32" s="28"/>
      <c r="O32" s="15"/>
      <c r="P32" s="14"/>
      <c r="X32" s="14"/>
      <c r="AA32" s="14"/>
      <c r="AC32" s="28"/>
      <c r="AD32" s="15"/>
    </row>
    <row r="33">
      <c r="B33" s="14"/>
      <c r="C33" s="22"/>
      <c r="E33" s="14"/>
      <c r="F33" s="14"/>
      <c r="G33" s="28"/>
      <c r="H33" s="15"/>
      <c r="N33" s="28"/>
      <c r="O33" s="15"/>
      <c r="X33" s="14"/>
      <c r="AA33" s="14"/>
      <c r="AC33" s="28"/>
      <c r="AD33" s="15"/>
    </row>
    <row r="34">
      <c r="E34" s="14"/>
      <c r="F34" s="14"/>
      <c r="G34" s="28"/>
      <c r="H34" s="15"/>
      <c r="N34" s="28"/>
      <c r="O34" s="15"/>
      <c r="X34" s="14"/>
      <c r="AA34" s="14"/>
      <c r="AC34" s="28"/>
      <c r="AD34" s="15"/>
    </row>
    <row r="35">
      <c r="B35" s="14"/>
      <c r="C35" s="22"/>
      <c r="E35" s="14"/>
      <c r="F35" s="14"/>
      <c r="G35" s="28"/>
      <c r="H35" s="15"/>
      <c r="N35" s="28"/>
      <c r="O35" s="15"/>
      <c r="X35" s="14"/>
      <c r="AA35" s="14"/>
      <c r="AC35" s="28"/>
      <c r="AD35" s="15"/>
    </row>
    <row r="36">
      <c r="B36" s="14"/>
      <c r="C36" s="22"/>
      <c r="E36" s="14"/>
      <c r="F36" s="14"/>
      <c r="G36" s="28"/>
      <c r="H36" s="15"/>
      <c r="N36" s="28"/>
      <c r="O36" s="15"/>
      <c r="X36" s="14"/>
      <c r="AA36" s="14"/>
      <c r="AC36" s="28"/>
      <c r="AD36" s="15"/>
    </row>
    <row r="37">
      <c r="B37" s="14"/>
      <c r="C37" s="22"/>
      <c r="E37" s="14"/>
      <c r="F37" s="14"/>
      <c r="G37" s="28"/>
      <c r="H37" s="15"/>
      <c r="N37" s="28"/>
      <c r="O37" s="15"/>
      <c r="X37" s="14"/>
      <c r="AA37" s="14"/>
    </row>
    <row r="38">
      <c r="B38" s="14"/>
      <c r="C38" s="22"/>
      <c r="E38" s="14"/>
      <c r="F38" s="14"/>
      <c r="G38" s="28"/>
      <c r="H38" s="15"/>
      <c r="N38" s="28"/>
      <c r="O38" s="15"/>
      <c r="X38" s="14"/>
      <c r="AA38" s="14"/>
    </row>
    <row r="39">
      <c r="B39" s="14"/>
      <c r="C39" s="22"/>
      <c r="E39" s="14"/>
      <c r="F39" s="14"/>
      <c r="G39" s="28"/>
      <c r="H39" s="15"/>
      <c r="N39" s="28"/>
      <c r="O39" s="15"/>
      <c r="X39" s="14"/>
      <c r="AA39" s="14"/>
    </row>
    <row r="40">
      <c r="B40" s="14"/>
      <c r="C40" s="22"/>
      <c r="E40" s="14"/>
      <c r="F40" s="14"/>
      <c r="G40" s="28"/>
      <c r="H40" s="15"/>
      <c r="X40" s="14"/>
      <c r="AA40" s="14"/>
    </row>
    <row r="41">
      <c r="B41" s="14"/>
      <c r="C41" s="22"/>
      <c r="E41" s="14"/>
      <c r="G41" s="28"/>
      <c r="H41" s="15"/>
      <c r="X41" s="14"/>
      <c r="AA41" s="14"/>
    </row>
    <row r="42">
      <c r="B42" s="14"/>
      <c r="E42" s="14"/>
      <c r="G42" s="28"/>
      <c r="H42" s="15"/>
      <c r="X42" s="14"/>
      <c r="AA42" s="14"/>
    </row>
    <row r="43">
      <c r="B43" s="14"/>
      <c r="E43" s="14"/>
      <c r="G43" s="28"/>
      <c r="H43" s="15"/>
      <c r="X43" s="14"/>
      <c r="AA43" s="14"/>
    </row>
    <row r="44">
      <c r="B44" s="14"/>
      <c r="E44" s="14"/>
      <c r="G44" s="28"/>
      <c r="H44" s="15"/>
      <c r="X44" s="14"/>
      <c r="AA44" s="14"/>
    </row>
    <row r="45">
      <c r="B45" s="14"/>
      <c r="E45" s="14"/>
      <c r="G45" s="28"/>
      <c r="H45" s="15"/>
      <c r="X45" s="14"/>
      <c r="AA45" s="14"/>
    </row>
    <row r="46">
      <c r="B46" s="14"/>
      <c r="E46" s="14"/>
      <c r="G46" s="28"/>
      <c r="H46" s="15"/>
      <c r="X46" s="14"/>
      <c r="AA46" s="14"/>
    </row>
    <row r="47">
      <c r="B47" s="14"/>
      <c r="E47" s="14"/>
      <c r="X47" s="14"/>
      <c r="AA47" s="14"/>
    </row>
    <row r="48">
      <c r="B48" s="14"/>
      <c r="E48" s="14"/>
      <c r="X48" s="14"/>
      <c r="AA48" s="14"/>
    </row>
    <row r="49">
      <c r="B49" s="14"/>
      <c r="E49" s="14"/>
    </row>
    <row r="50">
      <c r="B50" s="14"/>
      <c r="E50" s="14"/>
    </row>
    <row r="51">
      <c r="B51" s="14"/>
      <c r="E51" s="14"/>
    </row>
    <row r="52">
      <c r="B52" s="14"/>
      <c r="E52" s="14"/>
    </row>
    <row r="53">
      <c r="B53" s="14"/>
      <c r="E53" s="14"/>
    </row>
    <row r="54">
      <c r="B54" s="14"/>
      <c r="E54" s="14"/>
    </row>
    <row r="55">
      <c r="B55" s="14"/>
      <c r="E55" s="14"/>
    </row>
  </sheetData>
  <drawing r:id="rId1"/>
</worksheet>
</file>