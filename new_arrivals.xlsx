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<sst xmlns="http://schemas.openxmlformats.org/spreadsheetml/2006/main" count="165" uniqueCount="141">
  <si>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</si>
  <si>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</si>
  <si>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</si>
  <si>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</si>
  <si>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COUNTRY OF ORIGIN AT SHELTERS</t>
  </si>
  <si>
    <t>BUSES</t>
  </si>
  <si>
    <t>Does not include State operated shelters</t>
  </si>
  <si>
    <t>Total New Arrivals to Date</t>
  </si>
  <si>
    <t>Buses Arrived in Last 7 Days at Landing Zone</t>
  </si>
  <si>
    <t>Venezuela</t>
  </si>
  <si>
    <t>51643*</t>
  </si>
  <si>
    <t>Total Exits from Sheltering System (Individuals)</t>
  </si>
  <si>
    <t>4731*</t>
  </si>
  <si>
    <t>694 (interpolated)</t>
  </si>
  <si>
    <t>Buses Arrived in Last 7 Days, not at Landing Zone</t>
  </si>
  <si>
    <t>39409*</t>
  </si>
  <si>
    <t>Colombia</t>
  </si>
  <si>
    <t>INACTIVE DATA SETS</t>
  </si>
  <si>
    <t>Total New Arrivals Placed in Shelters by 311 to Date</t>
  </si>
  <si>
    <t>USA</t>
  </si>
  <si>
    <t># OF PEOPLE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</si>
  <si>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</si>
  <si>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</si>
  <si>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Ecuador</t>
  </si>
  <si>
    <t>60 Day Policy Exits in Last 7 Days</t>
  </si>
  <si>
    <t>27*</t>
  </si>
  <si>
    <t>Peru</t>
  </si>
  <si>
    <t>138*</t>
  </si>
  <si>
    <t>60-Day Policy Exits Returned to Landing Zone in Last 7 Days</t>
  </si>
  <si>
    <t>Haiti</t>
  </si>
  <si>
    <t>126*</t>
  </si>
  <si>
    <t>135*</t>
  </si>
  <si>
    <t>Landing Zone Arrivals via Texas Contracted Buses in Last 7 Days</t>
  </si>
  <si>
    <t>3681*</t>
  </si>
  <si>
    <t>Angola</t>
  </si>
  <si>
    <t>Total Arrivals to Landing Zone in Last 7 Days</t>
  </si>
  <si>
    <t>Honduras</t>
  </si>
  <si>
    <t>Single Men</t>
  </si>
  <si>
    <t>Other</t>
  </si>
  <si>
    <t>Single Women</t>
  </si>
  <si>
    <t>Bolivia</t>
  </si>
  <si>
    <t>Brazil</t>
  </si>
  <si>
    <t xml:space="preserve">Families (individuals in a family unit) </t>
  </si>
  <si>
    <t>Chile</t>
  </si>
  <si>
    <t>New Arrivals Placed in Shelters from Landing Zone in Last 7 Days</t>
  </si>
  <si>
    <t>Cuba</t>
  </si>
  <si>
    <t>Dominican Republic</t>
  </si>
  <si>
    <t>Landing Zone Arrivals as Walk-ins in Last 7 Days</t>
  </si>
  <si>
    <t>El Salvador</t>
  </si>
  <si>
    <t>New Arrivals Placed in Shelters Last 7 Days</t>
  </si>
  <si>
    <t>Guatemala</t>
  </si>
  <si>
    <t>Individuals via non Texas-Contracted Bus</t>
  </si>
  <si>
    <t>Indviduals via non Texas-Contracted Bus with Personal Movement Plans</t>
  </si>
  <si>
    <t>STAGING AREA</t>
  </si>
  <si>
    <t>Individuals Arrived Via Texas Contracted Buses with Personal Movement Plans</t>
  </si>
  <si>
    <t>Mauritania</t>
  </si>
  <si>
    <t>Mexico</t>
  </si>
  <si>
    <t>Morocco</t>
  </si>
  <si>
    <t>Nicaragua</t>
  </si>
  <si>
    <t>Landing Zone</t>
  </si>
  <si>
    <t>O'Hare Airport</t>
  </si>
  <si>
    <t>Russia</t>
  </si>
  <si>
    <t>Sudan</t>
  </si>
  <si>
    <t>Midway Airport</t>
  </si>
  <si>
    <t>Police Districts (All)</t>
  </si>
  <si>
    <t>Unknown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</si>
  <si>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</si>
  <si>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</si>
  <si>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</si>
  <si>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</si>
  <si>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</si>
  <si>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</si>
  <si>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</si>
  <si>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</si>
  <si>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</si>
  <si>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</si>
  <si>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</si>
  <si>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</si>
  <si>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</si>
  <si>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</si>
  <si>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</si>
  <si>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</si>
  <si>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</si>
  <si>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</si>
  <si>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</si>
  <si>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</si>
  <si>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</si>
  <si>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</si>
  <si>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</si>
  <si>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</si>
  <si>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</si>
  <si>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</si>
  <si>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</si>
  <si>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</si>
  <si>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</si>
  <si>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</si>
  <si>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</si>
  <si>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Total Shelter Residents</t>
  </si>
  <si>
    <t>Social Club</t>
  </si>
  <si>
    <t>Total Awaiting Placement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</si>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</sst>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3" fontId="6" numFmtId="0" xfId="0" applyAlignment="1" applyFill="1" applyFont="1">
      <alignment horizontal="right" readingOrder="0" shrinkToFit="0" wrapText="0"/>
    </xf>
    <xf borderId="0" fillId="0" fontId="5" numFmtId="166" xfId="0" applyAlignment="1" applyFont="1" applyNumberFormat="1">
      <alignment horizontal="right" readingOrder="0" vertical="bottom"/>
    </xf>
    <xf borderId="0" fillId="0" fontId="5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5" numFmtId="0" xfId="0" applyAlignment="1" applyFont="1">
      <alignment horizontal="right" readingOrder="0" vertical="bottom"/>
    </xf>
    <xf borderId="0" fillId="0" fontId="5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80786448"/>
        <c:axId val="1361642155"/>
      </c:areaChart>
      <c:catAx>
        <c:axId val="1380786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1642155"/>
      </c:catAx>
      <c:valAx>
        <c:axId val="13616421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0786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16285113"/>
        <c:axId val="2041737670"/>
      </c:barChart>
      <c:catAx>
        <c:axId val="516285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737670"/>
      </c:catAx>
      <c:valAx>
        <c:axId val="20417376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28511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29590928"/>
        <c:axId val="1938642057"/>
      </c:barChart>
      <c:catAx>
        <c:axId val="172959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8642057"/>
      </c:catAx>
      <c:valAx>
        <c:axId val="19386420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95909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5435681"/>
        <c:axId val="490348607"/>
      </c:lineChart>
      <c:catAx>
        <c:axId val="1265435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0348607"/>
      </c:catAx>
      <c:valAx>
        <c:axId val="49034860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5435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13627618"/>
        <c:axId val="96821403"/>
      </c:lineChart>
      <c:catAx>
        <c:axId val="17136276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821403"/>
      </c:catAx>
      <c:valAx>
        <c:axId val="968214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6276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76730454"/>
        <c:axId val="284743901"/>
      </c:barChart>
      <c:catAx>
        <c:axId val="576730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4743901"/>
      </c:catAx>
      <c:valAx>
        <c:axId val="2847439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67304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0</v>
      </c>
      <c r="B1" s="3" t="s">
        <v>2</v>
      </c>
      <c r="C1" s="3" t="s">
        <v>3</v>
      </c>
    </row>
    <row r="2">
      <c r="A2" s="2" t="s">
        <v>1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4" t="s">
        <v>13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6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6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6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6">
        <v>923.0</v>
      </c>
      <c r="C79" s="3">
        <v>923.0</v>
      </c>
    </row>
    <row r="80">
      <c r="A80" s="4">
        <v>45451.0</v>
      </c>
      <c r="B80" s="16">
        <v>943.0</v>
      </c>
    </row>
    <row r="81">
      <c r="A81" s="4">
        <v>45452.0</v>
      </c>
      <c r="B81" s="16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9" t="s">
        <v>21</v>
      </c>
    </row>
    <row r="92">
      <c r="B92" s="21" t="s">
        <v>22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4" t="s">
        <v>33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7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10</v>
      </c>
      <c r="CC2" s="11">
        <v>51644.0</v>
      </c>
      <c r="CD2" s="11">
        <v>51649.0</v>
      </c>
      <c r="CE2" s="11">
        <v>51779.0</v>
      </c>
    </row>
    <row r="3">
      <c r="A3" s="3" t="s">
        <v>11</v>
      </c>
      <c r="D3" s="12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10">
        <v>18070.0</v>
      </c>
      <c r="AL3" s="3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15</v>
      </c>
      <c r="CC3" s="11" t="s">
        <v>15</v>
      </c>
      <c r="CD3" s="11">
        <v>39745.0</v>
      </c>
      <c r="CE3" s="11">
        <v>40670.0</v>
      </c>
    </row>
    <row r="4">
      <c r="D4" s="12"/>
    </row>
    <row r="5">
      <c r="A5" s="3" t="s">
        <v>17</v>
      </c>
      <c r="D5" s="12"/>
    </row>
    <row r="6">
      <c r="A6" s="3" t="s">
        <v>18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10">
        <v>7175.0</v>
      </c>
      <c r="AL6" s="3">
        <v>7178.0</v>
      </c>
      <c r="AM6" s="3">
        <v>7182.0</v>
      </c>
      <c r="AN6" s="10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8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4">
        <v>0.0</v>
      </c>
      <c r="BU3" s="14">
        <v>0.0</v>
      </c>
      <c r="BV3" s="14">
        <v>0.0</v>
      </c>
      <c r="BW3" s="14">
        <v>0.0</v>
      </c>
      <c r="BX3" s="14">
        <v>0.0</v>
      </c>
      <c r="BY3" s="14">
        <v>0.0</v>
      </c>
      <c r="BZ3" s="14">
        <v>0.0</v>
      </c>
      <c r="CA3" s="14">
        <v>0.0</v>
      </c>
      <c r="CB3" s="14">
        <v>0.0</v>
      </c>
      <c r="CC3" s="14">
        <v>0.0</v>
      </c>
      <c r="CD3" s="14">
        <v>0.0</v>
      </c>
      <c r="CE3" s="14">
        <v>0.0</v>
      </c>
    </row>
    <row r="4">
      <c r="A4" s="3" t="s">
        <v>14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20</v>
      </c>
      <c r="C6" s="18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24</v>
      </c>
      <c r="C7" s="1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4" t="s">
        <v>27</v>
      </c>
      <c r="CC7" s="14" t="s">
        <v>27</v>
      </c>
      <c r="CD7" s="14">
        <v>166.0</v>
      </c>
      <c r="CE7" s="14">
        <v>267.0</v>
      </c>
    </row>
    <row r="8">
      <c r="A8" s="3" t="s">
        <v>28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4" t="s">
        <v>30</v>
      </c>
      <c r="CC8" s="14" t="s">
        <v>30</v>
      </c>
      <c r="CD8" s="14">
        <v>135.0</v>
      </c>
      <c r="CE8" s="14" t="s">
        <v>31</v>
      </c>
    </row>
    <row r="9">
      <c r="A9" s="3" t="s">
        <v>32</v>
      </c>
      <c r="C9" s="18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35</v>
      </c>
      <c r="C10" s="1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42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17</v>
      </c>
      <c r="C18" s="22"/>
    </row>
    <row r="19">
      <c r="A19" s="3" t="s">
        <v>47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49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54</v>
      </c>
      <c r="C23" s="18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3"/>
      <c r="C2" s="3"/>
      <c r="D2" s="7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3" t="s">
        <v>9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3" t="s">
        <v>12</v>
      </c>
      <c r="BQ4" s="13">
        <v>3528.0</v>
      </c>
      <c r="BR4" s="13">
        <v>3503.0</v>
      </c>
      <c r="BS4" s="13">
        <v>3386.0</v>
      </c>
      <c r="BT4" s="13">
        <v>3241.0</v>
      </c>
      <c r="BU4" s="13">
        <v>3243.0</v>
      </c>
      <c r="BV4" s="13">
        <v>3232.0</v>
      </c>
      <c r="BW4" s="13">
        <v>3002.0</v>
      </c>
      <c r="BX4" s="13">
        <v>2515.0</v>
      </c>
      <c r="BY4" s="13">
        <v>2155.0</v>
      </c>
      <c r="BZ4" s="13">
        <v>1756.0</v>
      </c>
      <c r="CA4" s="13">
        <v>1359.0</v>
      </c>
      <c r="CB4" s="13">
        <v>1102.0</v>
      </c>
      <c r="CC4" s="15">
        <v>1014.0</v>
      </c>
      <c r="CD4" s="17">
        <v>879.0</v>
      </c>
    </row>
    <row r="5">
      <c r="A5" s="3" t="s">
        <v>16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5">
        <v>144.0</v>
      </c>
      <c r="CD5" s="17">
        <v>135.0</v>
      </c>
    </row>
    <row r="6">
      <c r="A6" s="3" t="s">
        <v>19</v>
      </c>
      <c r="D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5">
        <v>17.0</v>
      </c>
      <c r="CD6" s="17">
        <v>48.0</v>
      </c>
    </row>
    <row r="7">
      <c r="A7" s="3" t="s">
        <v>23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25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5">
        <v>44.0</v>
      </c>
      <c r="CD7" s="17">
        <v>39.0</v>
      </c>
    </row>
    <row r="8">
      <c r="A8" s="3" t="s">
        <v>26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5">
        <v>22.0</v>
      </c>
      <c r="CD8" s="17">
        <v>20.0</v>
      </c>
    </row>
    <row r="9">
      <c r="A9" s="3" t="s">
        <v>29</v>
      </c>
      <c r="D9" s="12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5">
        <v>28.0</v>
      </c>
      <c r="CD9" s="17">
        <v>18.0</v>
      </c>
    </row>
    <row r="10">
      <c r="A10" s="3" t="s">
        <v>34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5">
        <v>14.0</v>
      </c>
      <c r="CD10" s="17">
        <v>14.0</v>
      </c>
    </row>
    <row r="11">
      <c r="A11" s="3" t="s">
        <v>36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5">
        <v>11.0</v>
      </c>
      <c r="CD11" s="17">
        <v>11.0</v>
      </c>
    </row>
    <row r="12">
      <c r="A12" s="3" t="s">
        <v>38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5">
        <v>10.0</v>
      </c>
      <c r="CD12" s="17">
        <v>10.0</v>
      </c>
    </row>
    <row r="13">
      <c r="A13" s="3" t="s">
        <v>40</v>
      </c>
      <c r="D13" s="12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3" t="s">
        <v>41</v>
      </c>
      <c r="D14" s="12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3" t="s">
        <v>43</v>
      </c>
      <c r="D15" s="12"/>
      <c r="S15" s="12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3" t="s">
        <v>45</v>
      </c>
      <c r="B16" s="3">
        <v>10.0</v>
      </c>
      <c r="C16" s="3">
        <v>10.0</v>
      </c>
      <c r="D16" s="12"/>
      <c r="S16" s="12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3" t="s">
        <v>46</v>
      </c>
      <c r="B17" s="3">
        <v>10.0</v>
      </c>
      <c r="C17" s="3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3" t="s">
        <v>48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2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3" t="s">
        <v>50</v>
      </c>
      <c r="D19" s="12"/>
      <c r="Q19" s="3">
        <v>10.0</v>
      </c>
      <c r="R19" s="3">
        <v>10.0</v>
      </c>
      <c r="S19" s="3">
        <v>10.0</v>
      </c>
      <c r="T19" s="18"/>
      <c r="U19" s="23"/>
      <c r="V19" s="26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3" t="s">
        <v>55</v>
      </c>
      <c r="D20" s="12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3" t="s">
        <v>56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3" t="s">
        <v>57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3" t="s">
        <v>58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3" t="s">
        <v>61</v>
      </c>
      <c r="B24" s="3">
        <v>11.0</v>
      </c>
      <c r="C24" s="3">
        <v>11.0</v>
      </c>
      <c r="D24" s="12"/>
      <c r="E24" s="12"/>
      <c r="F24" s="12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3" t="s">
        <v>62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2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65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53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3" t="s">
        <v>59</v>
      </c>
      <c r="B2" s="12"/>
      <c r="F2" s="12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3" t="s">
        <v>60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3" t="s">
        <v>63</v>
      </c>
      <c r="B4" s="22"/>
      <c r="F4" s="12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2">
        <v>0.0</v>
      </c>
      <c r="AI4" s="3">
        <v>0.0</v>
      </c>
      <c r="AJ4" s="3">
        <v>0.0</v>
      </c>
      <c r="AK4" s="3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3" t="s">
        <v>64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3" t="s">
        <v>66</v>
      </c>
      <c r="B6" s="15">
        <f t="shared" ref="B6:AU6" si="1">SUM(B2:B5)</f>
        <v>470</v>
      </c>
      <c r="C6" s="15">
        <f t="shared" si="1"/>
        <v>398</v>
      </c>
      <c r="D6" s="15">
        <f t="shared" si="1"/>
        <v>516</v>
      </c>
      <c r="E6" s="15">
        <f t="shared" si="1"/>
        <v>687</v>
      </c>
      <c r="F6" s="15">
        <f t="shared" si="1"/>
        <v>792</v>
      </c>
      <c r="G6" s="15">
        <f t="shared" si="1"/>
        <v>806</v>
      </c>
      <c r="H6" s="15">
        <f t="shared" si="1"/>
        <v>958</v>
      </c>
      <c r="I6" s="15">
        <f t="shared" si="1"/>
        <v>832</v>
      </c>
      <c r="J6" s="15">
        <f t="shared" si="1"/>
        <v>726</v>
      </c>
      <c r="K6" s="15">
        <f t="shared" si="1"/>
        <v>1032</v>
      </c>
      <c r="L6" s="15">
        <f t="shared" si="1"/>
        <v>1278</v>
      </c>
      <c r="M6" s="15">
        <f t="shared" si="1"/>
        <v>1639</v>
      </c>
      <c r="N6" s="15">
        <f t="shared" si="1"/>
        <v>1994</v>
      </c>
      <c r="O6" s="15">
        <f t="shared" si="1"/>
        <v>2032</v>
      </c>
      <c r="P6" s="15">
        <f t="shared" si="1"/>
        <v>2107</v>
      </c>
      <c r="Q6" s="15">
        <f t="shared" si="1"/>
        <v>2006</v>
      </c>
      <c r="R6" s="15">
        <f t="shared" si="1"/>
        <v>2246</v>
      </c>
      <c r="S6" s="15">
        <f t="shared" si="1"/>
        <v>3382</v>
      </c>
      <c r="T6" s="15">
        <f t="shared" si="1"/>
        <v>3567</v>
      </c>
      <c r="U6" s="15">
        <f t="shared" si="1"/>
        <v>3684</v>
      </c>
      <c r="V6" s="15">
        <f t="shared" si="1"/>
        <v>3344</v>
      </c>
      <c r="W6" s="15">
        <f t="shared" si="1"/>
        <v>3228</v>
      </c>
      <c r="X6" s="15">
        <f t="shared" si="1"/>
        <v>2527</v>
      </c>
      <c r="Y6" s="15">
        <f t="shared" si="1"/>
        <v>2218</v>
      </c>
      <c r="Z6" s="15">
        <f t="shared" si="1"/>
        <v>1513</v>
      </c>
      <c r="AA6" s="15">
        <f t="shared" si="1"/>
        <v>1032</v>
      </c>
      <c r="AB6" s="15">
        <f t="shared" si="1"/>
        <v>575</v>
      </c>
      <c r="AC6" s="15">
        <f t="shared" si="1"/>
        <v>339</v>
      </c>
      <c r="AD6" s="15">
        <f t="shared" si="1"/>
        <v>251</v>
      </c>
      <c r="AE6" s="15">
        <f t="shared" si="1"/>
        <v>253</v>
      </c>
      <c r="AF6" s="15">
        <f t="shared" si="1"/>
        <v>262</v>
      </c>
      <c r="AG6" s="15">
        <f t="shared" si="1"/>
        <v>406</v>
      </c>
      <c r="AH6" s="15">
        <f t="shared" si="1"/>
        <v>230</v>
      </c>
      <c r="AI6" s="15">
        <f t="shared" si="1"/>
        <v>202</v>
      </c>
      <c r="AJ6" s="15">
        <f t="shared" si="1"/>
        <v>69</v>
      </c>
      <c r="AK6" s="15">
        <f t="shared" si="1"/>
        <v>29</v>
      </c>
      <c r="AL6" s="15">
        <f t="shared" si="1"/>
        <v>26</v>
      </c>
      <c r="AM6" s="15">
        <f t="shared" si="1"/>
        <v>4</v>
      </c>
      <c r="AN6" s="15">
        <f t="shared" si="1"/>
        <v>15</v>
      </c>
      <c r="AO6" s="15">
        <f t="shared" si="1"/>
        <v>7</v>
      </c>
      <c r="AP6" s="15">
        <f t="shared" si="1"/>
        <v>43</v>
      </c>
      <c r="AQ6" s="15">
        <f t="shared" si="1"/>
        <v>76</v>
      </c>
      <c r="AR6" s="15">
        <f t="shared" si="1"/>
        <v>133</v>
      </c>
      <c r="AS6" s="15">
        <f t="shared" si="1"/>
        <v>84</v>
      </c>
      <c r="AT6" s="15">
        <f t="shared" si="1"/>
        <v>39</v>
      </c>
      <c r="AU6" s="15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3" t="s">
        <v>67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3" t="s">
        <v>69</v>
      </c>
      <c r="B10" s="22"/>
      <c r="F10" s="12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2"/>
      <c r="J11" s="22"/>
      <c r="O11" s="18"/>
      <c r="AG11" s="3"/>
      <c r="AH11" s="3"/>
      <c r="AI11" s="3"/>
      <c r="AJ11" s="3"/>
      <c r="AK11" s="3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3" t="s">
        <v>71</v>
      </c>
      <c r="B12" s="36"/>
      <c r="F12" s="12"/>
      <c r="J12" s="22"/>
      <c r="O12" s="18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2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2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2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2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3" t="s">
        <v>85</v>
      </c>
      <c r="B27" s="22"/>
      <c r="F27" s="12"/>
      <c r="J27" s="22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3" t="s">
        <v>87</v>
      </c>
      <c r="B29" s="36"/>
      <c r="F29" s="12"/>
      <c r="J29" s="22"/>
      <c r="O29" s="18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3" t="s">
        <v>89</v>
      </c>
      <c r="B31" s="36"/>
      <c r="F31" s="12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3" t="s">
        <v>92</v>
      </c>
      <c r="B34" s="22"/>
      <c r="J34" s="22"/>
      <c r="O34" s="18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3" t="s">
        <v>93</v>
      </c>
      <c r="B35" s="22"/>
      <c r="J35" s="22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3" t="s">
        <v>94</v>
      </c>
      <c r="B36" s="22"/>
      <c r="J36" s="22"/>
      <c r="O36" s="18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3" t="s">
        <v>96</v>
      </c>
      <c r="B38" s="22">
        <v>92.0</v>
      </c>
      <c r="C38" s="22">
        <v>90.0</v>
      </c>
      <c r="J38" s="22"/>
      <c r="O38" s="18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98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3" t="s">
        <v>100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42" t="s">
        <v>101</v>
      </c>
      <c r="BZ40" s="28">
        <v>54.0</v>
      </c>
      <c r="CA40" s="28"/>
      <c r="CB40" s="28"/>
      <c r="CC40" s="28"/>
      <c r="CD40" s="28"/>
      <c r="CE40" s="28"/>
    </row>
    <row r="41">
      <c r="A41" s="3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3" t="s">
        <v>103</v>
      </c>
      <c r="B42" s="22"/>
      <c r="O42" s="18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3" t="s">
        <v>104</v>
      </c>
      <c r="B43" s="22"/>
      <c r="O43" s="18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3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8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5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8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8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8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8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8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8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8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8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8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8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8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8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8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8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8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8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8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8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8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8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8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97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3">
        <v>5413.0</v>
      </c>
      <c r="S2" s="8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99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3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97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43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16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23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48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50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29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56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6"/>
      <c r="E23" s="12"/>
      <c r="F23" s="12"/>
      <c r="I23" s="12"/>
      <c r="L23" s="26"/>
      <c r="M23" s="18"/>
      <c r="P23" s="12"/>
      <c r="Q23" s="18"/>
      <c r="R23" s="23"/>
      <c r="S23" s="26"/>
      <c r="Y23" s="18"/>
      <c r="Z23" s="44"/>
      <c r="AA23" s="26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6"/>
      <c r="E24" s="12"/>
      <c r="F24" s="12"/>
      <c r="I24" s="12"/>
      <c r="L24" s="26"/>
      <c r="M24" s="18"/>
      <c r="P24" s="12"/>
      <c r="Q24" s="18"/>
      <c r="R24" s="23"/>
      <c r="S24" s="26"/>
      <c r="Y24" s="18"/>
      <c r="Z24" s="44"/>
      <c r="AA24" s="26"/>
    </row>
    <row r="25">
      <c r="B25" s="26"/>
      <c r="E25" s="12"/>
      <c r="F25" s="12"/>
      <c r="G25" s="26"/>
      <c r="H25" s="18"/>
      <c r="I25" s="12"/>
      <c r="L25" s="26"/>
      <c r="M25" s="18"/>
      <c r="P25" s="12"/>
      <c r="Q25" s="18"/>
      <c r="R25" s="23"/>
      <c r="S25" s="26"/>
      <c r="Y25" s="18"/>
      <c r="Z25" s="44"/>
      <c r="AA25" s="26"/>
      <c r="AB25" s="18"/>
      <c r="AC25" s="23"/>
      <c r="AD25" s="26"/>
      <c r="AE25" s="18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2"/>
      <c r="E26" s="12"/>
      <c r="F26" s="12"/>
      <c r="G26" s="26"/>
      <c r="H26" s="18"/>
      <c r="I26" s="12"/>
      <c r="L26" s="26"/>
      <c r="M26" s="18"/>
      <c r="N26" s="26"/>
      <c r="O26" s="18"/>
      <c r="P26" s="12"/>
      <c r="Q26" s="18"/>
      <c r="R26" s="23"/>
      <c r="S26" s="26"/>
      <c r="AB26" s="44"/>
      <c r="AC26" s="26"/>
      <c r="AD26" s="45"/>
      <c r="AE26" s="18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2"/>
      <c r="F27" s="12"/>
      <c r="G27" s="26"/>
      <c r="H27" s="18"/>
      <c r="I27" s="12"/>
      <c r="L27" s="26"/>
      <c r="M27" s="18"/>
      <c r="N27" s="26"/>
      <c r="O27" s="18"/>
      <c r="P27" s="12"/>
      <c r="Q27" s="18"/>
      <c r="R27" s="44"/>
      <c r="S27" s="26"/>
      <c r="X27" s="12"/>
      <c r="AA27" s="12"/>
      <c r="AB27" s="44"/>
      <c r="AC27" s="23"/>
      <c r="AD27" s="23"/>
    </row>
    <row r="28">
      <c r="B28" s="26"/>
      <c r="E28" s="12"/>
      <c r="F28" s="12"/>
      <c r="G28" s="26"/>
      <c r="H28" s="18"/>
      <c r="L28" s="26"/>
      <c r="M28" s="18"/>
      <c r="N28" s="26"/>
      <c r="O28" s="18"/>
      <c r="P28" s="12"/>
      <c r="Q28" s="18"/>
      <c r="R28" s="44"/>
      <c r="S28" s="26"/>
      <c r="X28" s="12"/>
      <c r="AA28" s="12"/>
      <c r="AB28" s="18"/>
      <c r="AC28" s="23"/>
      <c r="AD28" s="23"/>
    </row>
    <row r="29">
      <c r="B29" s="12"/>
      <c r="C29" s="22"/>
      <c r="E29" s="12"/>
      <c r="F29" s="12"/>
      <c r="G29" s="26"/>
      <c r="H29" s="18"/>
      <c r="L29" s="26"/>
      <c r="M29" s="18"/>
      <c r="N29" s="26"/>
      <c r="O29" s="18"/>
      <c r="P29" s="12"/>
      <c r="Q29" s="18"/>
      <c r="R29" s="44"/>
      <c r="S29" s="26"/>
      <c r="X29" s="12"/>
      <c r="AA29" s="12"/>
      <c r="AC29" s="26"/>
      <c r="AD29" s="18"/>
    </row>
    <row r="30">
      <c r="B30" s="12"/>
      <c r="C30" s="22"/>
      <c r="E30" s="12"/>
      <c r="F30" s="12"/>
      <c r="G30" s="26"/>
      <c r="H30" s="18"/>
      <c r="N30" s="26"/>
      <c r="O30" s="18"/>
      <c r="P30" s="12"/>
      <c r="X30" s="12"/>
      <c r="AA30" s="12"/>
      <c r="AC30" s="26"/>
      <c r="AD30" s="18"/>
    </row>
    <row r="31">
      <c r="B31" s="12"/>
      <c r="C31" s="22"/>
      <c r="E31" s="12"/>
      <c r="F31" s="12"/>
      <c r="G31" s="26"/>
      <c r="H31" s="18"/>
      <c r="N31" s="26"/>
      <c r="O31" s="18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6"/>
      <c r="H32" s="18"/>
      <c r="N32" s="26"/>
      <c r="O32" s="18"/>
      <c r="P32" s="12"/>
      <c r="X32" s="12"/>
      <c r="AA32" s="12"/>
      <c r="AC32" s="26"/>
      <c r="AD32" s="18"/>
    </row>
    <row r="33">
      <c r="B33" s="12"/>
      <c r="C33" s="22"/>
      <c r="E33" s="12"/>
      <c r="F33" s="12"/>
      <c r="G33" s="26"/>
      <c r="H33" s="18"/>
      <c r="N33" s="26"/>
      <c r="O33" s="18"/>
      <c r="X33" s="12"/>
      <c r="AA33" s="12"/>
      <c r="AC33" s="26"/>
      <c r="AD33" s="18"/>
    </row>
    <row r="34">
      <c r="E34" s="12"/>
      <c r="F34" s="12"/>
      <c r="G34" s="26"/>
      <c r="H34" s="18"/>
      <c r="N34" s="26"/>
      <c r="O34" s="18"/>
      <c r="X34" s="12"/>
      <c r="AA34" s="12"/>
      <c r="AC34" s="26"/>
      <c r="AD34" s="18"/>
    </row>
    <row r="35">
      <c r="B35" s="12"/>
      <c r="C35" s="22"/>
      <c r="E35" s="12"/>
      <c r="F35" s="12"/>
      <c r="G35" s="26"/>
      <c r="H35" s="18"/>
      <c r="N35" s="26"/>
      <c r="O35" s="18"/>
      <c r="X35" s="12"/>
      <c r="AA35" s="12"/>
      <c r="AC35" s="26"/>
      <c r="AD35" s="18"/>
    </row>
    <row r="36">
      <c r="B36" s="12"/>
      <c r="C36" s="22"/>
      <c r="E36" s="12"/>
      <c r="F36" s="12"/>
      <c r="G36" s="26"/>
      <c r="H36" s="18"/>
      <c r="N36" s="26"/>
      <c r="O36" s="18"/>
      <c r="X36" s="12"/>
      <c r="AA36" s="12"/>
      <c r="AC36" s="26"/>
      <c r="AD36" s="18"/>
    </row>
    <row r="37">
      <c r="B37" s="12"/>
      <c r="C37" s="22"/>
      <c r="E37" s="12"/>
      <c r="F37" s="12"/>
      <c r="G37" s="26"/>
      <c r="H37" s="18"/>
      <c r="N37" s="26"/>
      <c r="O37" s="18"/>
      <c r="X37" s="12"/>
      <c r="AA37" s="12"/>
    </row>
    <row r="38">
      <c r="B38" s="12"/>
      <c r="C38" s="22"/>
      <c r="E38" s="12"/>
      <c r="F38" s="12"/>
      <c r="G38" s="26"/>
      <c r="H38" s="18"/>
      <c r="N38" s="26"/>
      <c r="O38" s="18"/>
      <c r="X38" s="12"/>
      <c r="AA38" s="12"/>
    </row>
    <row r="39">
      <c r="B39" s="12"/>
      <c r="C39" s="22"/>
      <c r="E39" s="12"/>
      <c r="F39" s="12"/>
      <c r="G39" s="26"/>
      <c r="H39" s="18"/>
      <c r="N39" s="26"/>
      <c r="O39" s="18"/>
      <c r="X39" s="12"/>
      <c r="AA39" s="12"/>
    </row>
    <row r="40">
      <c r="B40" s="12"/>
      <c r="C40" s="22"/>
      <c r="E40" s="12"/>
      <c r="F40" s="12"/>
      <c r="G40" s="26"/>
      <c r="H40" s="18"/>
      <c r="X40" s="12"/>
      <c r="AA40" s="12"/>
    </row>
    <row r="41">
      <c r="B41" s="12"/>
      <c r="C41" s="22"/>
      <c r="E41" s="12"/>
      <c r="G41" s="26"/>
      <c r="H41" s="18"/>
      <c r="X41" s="12"/>
      <c r="AA41" s="12"/>
    </row>
    <row r="42">
      <c r="B42" s="12"/>
      <c r="E42" s="12"/>
      <c r="G42" s="26"/>
      <c r="H42" s="18"/>
      <c r="X42" s="12"/>
      <c r="AA42" s="12"/>
    </row>
    <row r="43">
      <c r="B43" s="12"/>
      <c r="E43" s="12"/>
      <c r="G43" s="26"/>
      <c r="H43" s="18"/>
      <c r="X43" s="12"/>
      <c r="AA43" s="12"/>
    </row>
    <row r="44">
      <c r="B44" s="12"/>
      <c r="E44" s="12"/>
      <c r="G44" s="26"/>
      <c r="H44" s="18"/>
      <c r="X44" s="12"/>
      <c r="AA44" s="12"/>
    </row>
    <row r="45">
      <c r="B45" s="12"/>
      <c r="E45" s="12"/>
      <c r="G45" s="26"/>
      <c r="H45" s="18"/>
      <c r="X45" s="12"/>
      <c r="AA45" s="12"/>
    </row>
    <row r="46">
      <c r="B46" s="12"/>
      <c r="E46" s="12"/>
      <c r="G46" s="26"/>
      <c r="H46" s="18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