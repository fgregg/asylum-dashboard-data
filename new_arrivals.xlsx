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<sst xmlns="http://schemas.openxmlformats.org/spreadsheetml/2006/main" count="165" uniqueCount="141">
  <si>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</si>
  <si>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</si>
  <si>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</si>
  <si>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</si>
  <si>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</si>
  <si>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</si>
  <si>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</si>
  <si>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51643*</t>
  </si>
  <si>
    <t>Buses Arrived in Last 7 Days at Landing Zone</t>
  </si>
  <si>
    <t>Total Exits from Sheltering System (Individuals)</t>
  </si>
  <si>
    <t>694 (interpolated)</t>
  </si>
  <si>
    <t>Does not include State operated shelters</t>
  </si>
  <si>
    <t>39409*</t>
  </si>
  <si>
    <t>Buses Arrived in Last 7 Days, not at Landing Zone</t>
  </si>
  <si>
    <t>INACTIVE DATA SETS</t>
  </si>
  <si>
    <t>Total New Arrivals Placed in Shelters by 311 to Date</t>
  </si>
  <si>
    <t>Venezuela</t>
  </si>
  <si>
    <t>DAILY COUNT NO LONGER UPDATED HERE.</t>
  </si>
  <si>
    <t>4731*</t>
  </si>
  <si>
    <t># OF PEOPLE</t>
  </si>
  <si>
    <t>60 Day Policy Exits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</si>
  <si>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</si>
  <si>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</si>
  <si>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</si>
  <si>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</si>
  <si>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</si>
  <si>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</si>
  <si>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</si>
  <si>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</si>
  <si>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Ecuador</t>
  </si>
  <si>
    <t>3681*</t>
  </si>
  <si>
    <t>27*</t>
  </si>
  <si>
    <t>Total Arrivals to Landing Zone in Last 7 Days</t>
  </si>
  <si>
    <t>Peru</t>
  </si>
  <si>
    <t>Haiti</t>
  </si>
  <si>
    <t>Angola</t>
  </si>
  <si>
    <t>Single Men</t>
  </si>
  <si>
    <t>Honduras</t>
  </si>
  <si>
    <t>Single Women</t>
  </si>
  <si>
    <t>STAGING AREA</t>
  </si>
  <si>
    <t>Other</t>
  </si>
  <si>
    <t xml:space="preserve">Families (individuals in a family unit) </t>
  </si>
  <si>
    <t>Bolivia</t>
  </si>
  <si>
    <t>Brazil</t>
  </si>
  <si>
    <t>Chile</t>
  </si>
  <si>
    <t>New Arrivals Placed in Shelters from Landing Zone in Last 7 Days</t>
  </si>
  <si>
    <t>Landing Zone</t>
  </si>
  <si>
    <t>Cuba</t>
  </si>
  <si>
    <t>Landing Zone Arrivals as Walk-ins in Last 7 Days</t>
  </si>
  <si>
    <t>Dominican Republic</t>
  </si>
  <si>
    <t>O'Hare Airport</t>
  </si>
  <si>
    <t>El Salvador</t>
  </si>
  <si>
    <t>New Arrivals Placed in Shelters Last 7 Days</t>
  </si>
  <si>
    <t>Guatemala</t>
  </si>
  <si>
    <t>Midway Airport</t>
  </si>
  <si>
    <t>Individuals via non Texas-Contracted Bus</t>
  </si>
  <si>
    <t>Mauritania</t>
  </si>
  <si>
    <t>Indviduals via non Texas-Contracted Bus with Personal Movement Plans</t>
  </si>
  <si>
    <t>Mexico</t>
  </si>
  <si>
    <t>Police Districts (All)</t>
  </si>
  <si>
    <t>Individuals Arrived Via Texas Contracted Buses with Personal Movement Plans</t>
  </si>
  <si>
    <t>Morocco</t>
  </si>
  <si>
    <t>STAGING AREA TOTAL</t>
  </si>
  <si>
    <t>Nicaragua</t>
  </si>
  <si>
    <t>Russia</t>
  </si>
  <si>
    <t>Sudan</t>
  </si>
  <si>
    <t>Unknown</t>
  </si>
  <si>
    <t>Minors Currently in Staging Area</t>
  </si>
  <si>
    <t>Total Shelter Residents</t>
  </si>
  <si>
    <t>Total Awaiting Placement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</si>
  <si>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</si>
  <si>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</si>
  <si>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</si>
  <si>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</si>
  <si>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</si>
  <si>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</si>
  <si>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</si>
  <si>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</si>
  <si>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</si>
  <si>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</si>
  <si>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</si>
  <si>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</si>
  <si>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</si>
  <si>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</si>
  <si>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</si>
  <si>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</si>
  <si>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</si>
  <si>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</si>
  <si>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</si>
  <si>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</si>
  <si>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</si>
  <si>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</si>
  <si>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</si>
  <si>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INACTIVE DATA SET</t>
  </si>
  <si>
    <t>North Park Village</t>
  </si>
  <si>
    <t>311 SHELTER REQUESTS</t>
  </si>
  <si>
    <t>North Western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</si>
  <si>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</si>
  <si>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</si>
  <si>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</si>
  <si>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</si>
  <si>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</si>
  <si>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</si>
  <si>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</si>
  <si>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Ogden</t>
  </si>
  <si>
    <t>Belize</t>
  </si>
  <si>
    <t>Parthenon</t>
  </si>
  <si>
    <t>Piotrowski Park</t>
  </si>
  <si>
    <t>Shield of Hope</t>
  </si>
  <si>
    <t>Ghana</t>
  </si>
  <si>
    <t>Social Club</t>
  </si>
  <si>
    <t xml:space="preserve">Honduras </t>
  </si>
  <si>
    <t>Super 8 Motel</t>
  </si>
  <si>
    <t xml:space="preserve">Nicaragua </t>
  </si>
  <si>
    <t xml:space="preserve">Other </t>
  </si>
  <si>
    <t>18* potential data error</t>
  </si>
  <si>
    <t>Panama</t>
  </si>
  <si>
    <t>Wadsworth</t>
  </si>
  <si>
    <t>Puerto Rico</t>
  </si>
  <si>
    <t xml:space="preserve">Peru </t>
  </si>
  <si>
    <t>Poland</t>
  </si>
  <si>
    <t>Walnut</t>
  </si>
  <si>
    <t xml:space="preserve">Russia </t>
  </si>
  <si>
    <t xml:space="preserve">Unknown </t>
  </si>
  <si>
    <t xml:space="preserve">Venezuela </t>
  </si>
  <si>
    <t>West Lake</t>
  </si>
  <si>
    <t>NOTE : dataset given to committee was incomplete.</t>
  </si>
  <si>
    <t>Wright</t>
  </si>
  <si>
    <t>SHELTER TOTAL</t>
  </si>
  <si>
    <t>Minors Currently in Shelters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</si>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</sst>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2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54327891"/>
        <c:axId val="1694349146"/>
      </c:areaChart>
      <c:catAx>
        <c:axId val="654327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4349146"/>
      </c:catAx>
      <c:valAx>
        <c:axId val="16943491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43278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70237065"/>
        <c:axId val="1124743350"/>
      </c:barChart>
      <c:catAx>
        <c:axId val="12702370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4743350"/>
      </c:catAx>
      <c:valAx>
        <c:axId val="1124743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023706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00209556"/>
        <c:axId val="558066246"/>
      </c:barChart>
      <c:catAx>
        <c:axId val="1300209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8066246"/>
      </c:catAx>
      <c:valAx>
        <c:axId val="558066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02095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44967954"/>
        <c:axId val="592096049"/>
      </c:lineChart>
      <c:catAx>
        <c:axId val="744967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2096049"/>
      </c:catAx>
      <c:valAx>
        <c:axId val="59209604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49679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1285123"/>
        <c:axId val="885599317"/>
      </c:lineChart>
      <c:catAx>
        <c:axId val="1612851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5599317"/>
      </c:catAx>
      <c:valAx>
        <c:axId val="885599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2851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61951222"/>
        <c:axId val="1500169216"/>
      </c:barChart>
      <c:catAx>
        <c:axId val="1761951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0169216"/>
      </c:catAx>
      <c:valAx>
        <c:axId val="15001692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1951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3" t="s">
        <v>10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4">
        <v>923.0</v>
      </c>
      <c r="C79" s="3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6" t="s">
        <v>17</v>
      </c>
    </row>
    <row r="92">
      <c r="B92" s="20" t="s">
        <v>21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3" t="s">
        <v>30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3" t="s">
        <v>9</v>
      </c>
      <c r="D3" s="12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8">
        <v>18070.0</v>
      </c>
      <c r="AL3" s="3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2"/>
    </row>
    <row r="5">
      <c r="A5" s="3" t="s">
        <v>14</v>
      </c>
      <c r="D5" s="12"/>
    </row>
    <row r="6">
      <c r="A6" s="3" t="s">
        <v>15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8">
        <v>7175.0</v>
      </c>
      <c r="AL6" s="3">
        <v>7178.0</v>
      </c>
      <c r="AM6" s="3">
        <v>7182.0</v>
      </c>
      <c r="AN6" s="8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8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3" t="s">
        <v>13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19</v>
      </c>
      <c r="C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20</v>
      </c>
      <c r="C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3" t="s">
        <v>23</v>
      </c>
      <c r="CC7" s="13" t="s">
        <v>23</v>
      </c>
      <c r="CD7" s="13">
        <v>166.0</v>
      </c>
      <c r="CE7" s="13">
        <v>267.0</v>
      </c>
    </row>
    <row r="8">
      <c r="A8" s="3" t="s">
        <v>24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3" t="s">
        <v>26</v>
      </c>
      <c r="CC8" s="13" t="s">
        <v>26</v>
      </c>
      <c r="CD8" s="13">
        <v>135.0</v>
      </c>
      <c r="CE8" s="13" t="s">
        <v>27</v>
      </c>
    </row>
    <row r="9">
      <c r="A9" s="3" t="s">
        <v>28</v>
      </c>
      <c r="C9" s="15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32</v>
      </c>
      <c r="C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41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14</v>
      </c>
      <c r="C18" s="22"/>
    </row>
    <row r="19">
      <c r="A19" s="3" t="s">
        <v>48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52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55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60</v>
      </c>
      <c r="C23" s="15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16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18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3" t="s">
        <v>22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8">
        <v>144.0</v>
      </c>
      <c r="CD5" s="19">
        <v>135.0</v>
      </c>
    </row>
    <row r="6">
      <c r="A6" s="3" t="s">
        <v>25</v>
      </c>
      <c r="D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8">
        <v>17.0</v>
      </c>
      <c r="CD6" s="19">
        <v>48.0</v>
      </c>
    </row>
    <row r="7">
      <c r="A7" s="3" t="s">
        <v>29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31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8">
        <v>44.0</v>
      </c>
      <c r="CD7" s="19">
        <v>39.0</v>
      </c>
    </row>
    <row r="8">
      <c r="A8" s="3" t="s">
        <v>33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8">
        <v>22.0</v>
      </c>
      <c r="CD8" s="19">
        <v>20.0</v>
      </c>
    </row>
    <row r="9">
      <c r="A9" s="3" t="s">
        <v>34</v>
      </c>
      <c r="D9" s="12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8">
        <v>28.0</v>
      </c>
      <c r="CD9" s="19">
        <v>18.0</v>
      </c>
    </row>
    <row r="10">
      <c r="A10" s="3" t="s">
        <v>35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8">
        <v>14.0</v>
      </c>
      <c r="CD10" s="19">
        <v>14.0</v>
      </c>
    </row>
    <row r="11">
      <c r="A11" s="3" t="s">
        <v>37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8">
        <v>11.0</v>
      </c>
      <c r="CD11" s="19">
        <v>11.0</v>
      </c>
    </row>
    <row r="12">
      <c r="A12" s="3" t="s">
        <v>40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8">
        <v>10.0</v>
      </c>
      <c r="CD12" s="19">
        <v>10.0</v>
      </c>
    </row>
    <row r="13">
      <c r="A13" s="3" t="s">
        <v>42</v>
      </c>
      <c r="D13" s="12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43</v>
      </c>
      <c r="D14" s="12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44</v>
      </c>
      <c r="D15" s="12"/>
      <c r="S15" s="12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47</v>
      </c>
      <c r="B16" s="3">
        <v>10.0</v>
      </c>
      <c r="C16" s="3">
        <v>10.0</v>
      </c>
      <c r="D16" s="12"/>
      <c r="S16" s="12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49</v>
      </c>
      <c r="B17" s="3">
        <v>10.0</v>
      </c>
      <c r="C17" s="3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51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2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53</v>
      </c>
      <c r="D19" s="12"/>
      <c r="Q19" s="3">
        <v>10.0</v>
      </c>
      <c r="R19" s="3">
        <v>10.0</v>
      </c>
      <c r="S19" s="3">
        <v>10.0</v>
      </c>
      <c r="T19" s="15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56</v>
      </c>
      <c r="D20" s="12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58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61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63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64</v>
      </c>
      <c r="B24" s="3">
        <v>11.0</v>
      </c>
      <c r="C24" s="3">
        <v>11.0</v>
      </c>
      <c r="D24" s="12"/>
      <c r="E24" s="12"/>
      <c r="F24" s="12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39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46</v>
      </c>
      <c r="B2" s="12"/>
      <c r="F2" s="12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3" t="s">
        <v>50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3" t="s">
        <v>54</v>
      </c>
      <c r="B4" s="22"/>
      <c r="F4" s="12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3">
        <v>0.0</v>
      </c>
      <c r="AJ4" s="3">
        <v>0.0</v>
      </c>
      <c r="AK4" s="3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3" t="s">
        <v>59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3" t="s">
        <v>62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3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70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71</v>
      </c>
      <c r="B10" s="22"/>
      <c r="F10" s="12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8">
        <v>986.0</v>
      </c>
      <c r="AM10" s="38">
        <v>1030.0</v>
      </c>
      <c r="AN10" s="38">
        <v>1029.0</v>
      </c>
      <c r="AO10" s="38">
        <v>1070.0</v>
      </c>
      <c r="AP10" s="38">
        <v>1014.0</v>
      </c>
      <c r="AQ10" s="38">
        <v>975.0</v>
      </c>
      <c r="AR10" s="38">
        <v>871.0</v>
      </c>
      <c r="AS10" s="38">
        <v>897.0</v>
      </c>
      <c r="AT10" s="38">
        <v>866.0</v>
      </c>
      <c r="AU10" s="38">
        <v>901.0</v>
      </c>
      <c r="AV10" s="38">
        <v>976.0</v>
      </c>
      <c r="AW10" s="38">
        <v>914.0</v>
      </c>
      <c r="AX10" s="38">
        <v>913.0</v>
      </c>
      <c r="AY10" s="38">
        <v>982.0</v>
      </c>
      <c r="AZ10" s="38">
        <v>998.0</v>
      </c>
      <c r="BA10" s="38">
        <v>1027.0</v>
      </c>
      <c r="BB10" s="38">
        <v>934.0</v>
      </c>
      <c r="BC10" s="38">
        <v>856.0</v>
      </c>
      <c r="BD10" s="38">
        <v>796.0</v>
      </c>
      <c r="BE10" s="38">
        <v>715.0</v>
      </c>
      <c r="BF10" s="38">
        <v>681.0</v>
      </c>
      <c r="BG10" s="38">
        <v>644.0</v>
      </c>
      <c r="BH10" s="38">
        <v>579.0</v>
      </c>
      <c r="BI10" s="38">
        <v>515.0</v>
      </c>
      <c r="BJ10" s="38">
        <v>495.0</v>
      </c>
      <c r="BK10" s="38">
        <v>477.0</v>
      </c>
      <c r="BL10" s="38">
        <v>438.0</v>
      </c>
      <c r="BM10" s="38">
        <v>426.0</v>
      </c>
      <c r="BN10" s="38">
        <v>411.0</v>
      </c>
      <c r="BO10" s="38">
        <v>400.0</v>
      </c>
      <c r="BP10" s="38">
        <v>403.0</v>
      </c>
      <c r="BQ10" s="38">
        <v>392.0</v>
      </c>
      <c r="BR10" s="38">
        <v>426.0</v>
      </c>
      <c r="BS10" s="38">
        <v>472.0</v>
      </c>
      <c r="BT10" s="38">
        <v>490.0</v>
      </c>
      <c r="BU10" s="38">
        <v>522.0</v>
      </c>
      <c r="BV10" s="38">
        <v>538.0</v>
      </c>
      <c r="BW10" s="38">
        <v>551.0</v>
      </c>
      <c r="BX10" s="38">
        <v>731.0</v>
      </c>
      <c r="BY10" s="38">
        <v>690.0</v>
      </c>
      <c r="BZ10" s="38">
        <v>730.0</v>
      </c>
      <c r="CA10" s="38">
        <v>827.0</v>
      </c>
      <c r="CB10" s="38">
        <v>732.0</v>
      </c>
      <c r="CC10" s="38">
        <v>654.0</v>
      </c>
      <c r="CD10" s="38">
        <v>591.0</v>
      </c>
      <c r="CE10" s="38">
        <v>538.0</v>
      </c>
    </row>
    <row r="11">
      <c r="A11" s="3" t="s">
        <v>72</v>
      </c>
      <c r="B11" s="39"/>
      <c r="F11" s="12"/>
      <c r="J11" s="22"/>
      <c r="O11" s="15"/>
      <c r="AG11" s="3"/>
      <c r="AH11" s="3"/>
      <c r="AI11" s="3"/>
      <c r="AJ11" s="3"/>
      <c r="AK11" s="3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3" t="s">
        <v>73</v>
      </c>
      <c r="B12" s="39"/>
      <c r="F12" s="12"/>
      <c r="J12" s="22"/>
      <c r="O12" s="15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3" t="s">
        <v>74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3" t="s">
        <v>75</v>
      </c>
      <c r="B14" s="39">
        <v>247.0</v>
      </c>
      <c r="C14" s="39">
        <v>248.0</v>
      </c>
      <c r="D14" s="39">
        <v>248.0</v>
      </c>
      <c r="E14" s="39">
        <v>243.0</v>
      </c>
      <c r="F14" s="39">
        <v>246.0</v>
      </c>
      <c r="G14" s="39">
        <v>248.0</v>
      </c>
      <c r="H14" s="39">
        <v>247.0</v>
      </c>
      <c r="I14" s="39">
        <v>248.0</v>
      </c>
      <c r="J14" s="39">
        <v>249.0</v>
      </c>
      <c r="K14" s="39">
        <v>240.0</v>
      </c>
      <c r="L14" s="39">
        <v>210.0</v>
      </c>
      <c r="M14" s="39">
        <v>248.0</v>
      </c>
      <c r="N14" s="39">
        <v>250.0</v>
      </c>
      <c r="O14" s="39">
        <v>247.0</v>
      </c>
      <c r="P14" s="39">
        <v>246.0</v>
      </c>
      <c r="Q14" s="39">
        <v>245.0</v>
      </c>
      <c r="R14" s="39">
        <v>250.0</v>
      </c>
      <c r="S14" s="39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9"/>
      <c r="Q15" s="39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76</v>
      </c>
      <c r="B16" s="39"/>
      <c r="Q16" s="39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77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40"/>
      <c r="AK17" s="40"/>
      <c r="AL17" s="38"/>
      <c r="AM17" s="38"/>
      <c r="AN17" s="38"/>
      <c r="AO17" s="38"/>
      <c r="AP17" s="38">
        <v>98.0</v>
      </c>
      <c r="AQ17" s="38">
        <v>79.0</v>
      </c>
      <c r="AR17" s="38">
        <v>69.0</v>
      </c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</row>
    <row r="18">
      <c r="A18" s="3" t="s">
        <v>78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40">
        <v>147.0</v>
      </c>
      <c r="AK18" s="40">
        <v>149.0</v>
      </c>
      <c r="AL18" s="38">
        <v>138.0</v>
      </c>
      <c r="AM18" s="38">
        <v>136.0</v>
      </c>
      <c r="AN18" s="38">
        <v>118.0</v>
      </c>
      <c r="AO18" s="38">
        <v>111.0</v>
      </c>
      <c r="AP18" s="38">
        <v>107.0</v>
      </c>
      <c r="AQ18" s="38">
        <v>109.0</v>
      </c>
      <c r="AR18" s="38">
        <v>115.0</v>
      </c>
      <c r="AS18" s="38">
        <v>90.0</v>
      </c>
      <c r="AT18" s="38">
        <v>78.0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</row>
    <row r="19">
      <c r="A19" s="3" t="s">
        <v>79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8">
        <v>251.0</v>
      </c>
      <c r="AM19" s="38">
        <v>254.0</v>
      </c>
      <c r="AN19" s="38">
        <v>237.0</v>
      </c>
      <c r="AO19" s="38">
        <v>231.0</v>
      </c>
      <c r="AP19" s="38">
        <v>223.0</v>
      </c>
      <c r="AQ19" s="38">
        <v>208.0</v>
      </c>
      <c r="AR19" s="38">
        <v>195.0</v>
      </c>
      <c r="AS19" s="38">
        <v>40.0</v>
      </c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</row>
    <row r="20">
      <c r="A20" s="3" t="s">
        <v>80</v>
      </c>
      <c r="B20" s="22"/>
      <c r="F20" s="12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3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8">
        <v>208.0</v>
      </c>
      <c r="AM21" s="38">
        <v>203.0</v>
      </c>
      <c r="AN21" s="38">
        <v>191.0</v>
      </c>
      <c r="AO21" s="38">
        <v>183.0</v>
      </c>
      <c r="AP21" s="38">
        <v>182.0</v>
      </c>
      <c r="AQ21" s="38">
        <v>170.0</v>
      </c>
      <c r="AR21" s="38">
        <v>170.0</v>
      </c>
      <c r="AS21" s="38">
        <v>158.0</v>
      </c>
      <c r="AT21" s="38">
        <v>154.0</v>
      </c>
      <c r="AU21" s="38">
        <v>153.0</v>
      </c>
      <c r="AV21" s="38">
        <v>145.0</v>
      </c>
      <c r="AW21" s="38">
        <v>137.0</v>
      </c>
      <c r="AX21" s="38">
        <v>123.0</v>
      </c>
      <c r="AY21" s="38">
        <v>119.0</v>
      </c>
      <c r="AZ21" s="38">
        <v>110.0</v>
      </c>
      <c r="BA21" s="38">
        <v>99.0</v>
      </c>
      <c r="BB21" s="38">
        <v>111.0</v>
      </c>
      <c r="BC21" s="38">
        <v>101.0</v>
      </c>
      <c r="BD21" s="38">
        <v>91.0</v>
      </c>
      <c r="BE21" s="38">
        <v>56.0</v>
      </c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</row>
    <row r="22">
      <c r="A22" s="3" t="s">
        <v>82</v>
      </c>
      <c r="B22" s="22"/>
      <c r="F22" s="12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8">
        <v>850.0</v>
      </c>
      <c r="AM22" s="38">
        <v>789.0</v>
      </c>
      <c r="AN22" s="38">
        <v>796.0</v>
      </c>
      <c r="AO22" s="38">
        <v>831.0</v>
      </c>
      <c r="AP22" s="38">
        <v>893.0</v>
      </c>
      <c r="AQ22" s="38">
        <v>881.0</v>
      </c>
      <c r="AR22" s="38">
        <v>891.0</v>
      </c>
      <c r="AS22" s="38">
        <v>860.0</v>
      </c>
      <c r="AT22" s="38">
        <v>879.0</v>
      </c>
      <c r="AU22" s="38">
        <v>822.0</v>
      </c>
      <c r="AV22" s="38">
        <v>794.0</v>
      </c>
      <c r="AW22" s="38">
        <v>711.0</v>
      </c>
      <c r="AX22" s="38">
        <v>752.0</v>
      </c>
      <c r="AY22" s="38">
        <v>720.0</v>
      </c>
      <c r="AZ22" s="38">
        <v>720.0</v>
      </c>
      <c r="BA22" s="38">
        <v>741.0</v>
      </c>
      <c r="BB22" s="38">
        <v>780.0</v>
      </c>
      <c r="BC22" s="38">
        <v>749.0</v>
      </c>
      <c r="BD22" s="38">
        <v>748.0</v>
      </c>
      <c r="BE22" s="38">
        <v>797.0</v>
      </c>
      <c r="BF22" s="38">
        <v>783.0</v>
      </c>
      <c r="BG22" s="38">
        <v>762.0</v>
      </c>
      <c r="BH22" s="38">
        <v>709.0</v>
      </c>
      <c r="BI22" s="38">
        <v>728.0</v>
      </c>
      <c r="BJ22" s="38">
        <v>718.0</v>
      </c>
      <c r="BK22" s="38">
        <v>702.0</v>
      </c>
      <c r="BL22" s="38">
        <v>702.0</v>
      </c>
      <c r="BM22" s="38">
        <v>713.0</v>
      </c>
      <c r="BN22" s="38">
        <v>762.0</v>
      </c>
      <c r="BO22" s="38">
        <v>771.0</v>
      </c>
      <c r="BP22" s="38">
        <v>812.0</v>
      </c>
      <c r="BQ22" s="38">
        <v>832.0</v>
      </c>
      <c r="BR22" s="38">
        <v>817.0</v>
      </c>
      <c r="BS22" s="38">
        <v>802.0</v>
      </c>
      <c r="BT22" s="38">
        <v>857.0</v>
      </c>
      <c r="BU22" s="38">
        <v>866.0</v>
      </c>
      <c r="BV22" s="38">
        <v>826.0</v>
      </c>
      <c r="BW22" s="38">
        <v>811.0</v>
      </c>
      <c r="BX22" s="38">
        <v>751.0</v>
      </c>
      <c r="BY22" s="38">
        <v>628.0</v>
      </c>
      <c r="BZ22" s="38">
        <v>529.0</v>
      </c>
      <c r="CA22" s="38">
        <v>425.0</v>
      </c>
      <c r="CB22" s="38">
        <v>312.0</v>
      </c>
      <c r="CC22" s="38">
        <v>185.0</v>
      </c>
      <c r="CD22" s="38">
        <v>123.0</v>
      </c>
      <c r="CE22" s="38"/>
    </row>
    <row r="23">
      <c r="A23" s="3" t="s">
        <v>83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8">
        <v>353.0</v>
      </c>
      <c r="AM23" s="38">
        <v>344.0</v>
      </c>
      <c r="AN23" s="38">
        <v>310.0</v>
      </c>
      <c r="AO23" s="38">
        <v>309.0</v>
      </c>
      <c r="AP23" s="38">
        <v>297.0</v>
      </c>
      <c r="AQ23" s="38">
        <v>279.0</v>
      </c>
      <c r="AR23" s="38">
        <v>258.0</v>
      </c>
      <c r="AS23" s="38">
        <v>226.0</v>
      </c>
      <c r="AT23" s="38">
        <v>80.0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</row>
    <row r="24">
      <c r="A24" s="3" t="s">
        <v>84</v>
      </c>
      <c r="B24" s="22"/>
      <c r="F24" s="12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8">
        <v>2235.0</v>
      </c>
      <c r="AM24" s="38">
        <v>2150.0</v>
      </c>
      <c r="AN24" s="38">
        <v>2038.0</v>
      </c>
      <c r="AO24" s="38">
        <v>1896.0</v>
      </c>
      <c r="AP24" s="38">
        <v>1570.0</v>
      </c>
      <c r="AQ24" s="38">
        <v>1462.0</v>
      </c>
      <c r="AR24" s="38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2"/>
      <c r="F25" s="12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3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87</v>
      </c>
      <c r="B27" s="22"/>
      <c r="F27" s="12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3" t="s">
        <v>88</v>
      </c>
      <c r="B28" s="39">
        <v>100.0</v>
      </c>
      <c r="C28" s="39">
        <v>97.0</v>
      </c>
      <c r="D28" s="39">
        <v>97.0</v>
      </c>
      <c r="E28" s="39">
        <v>80.0</v>
      </c>
      <c r="F28" s="39">
        <v>103.0</v>
      </c>
      <c r="G28" s="39">
        <v>86.0</v>
      </c>
      <c r="H28" s="39">
        <v>101.0</v>
      </c>
      <c r="I28" s="39">
        <v>101.0</v>
      </c>
      <c r="J28" s="39">
        <v>100.0</v>
      </c>
      <c r="K28" s="39">
        <v>96.0</v>
      </c>
      <c r="L28" s="39">
        <v>101.0</v>
      </c>
      <c r="M28" s="39">
        <v>101.0</v>
      </c>
      <c r="N28" s="39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3" t="s">
        <v>89</v>
      </c>
      <c r="B29" s="39"/>
      <c r="F29" s="12"/>
      <c r="J29" s="22"/>
      <c r="O29" s="15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3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3" t="s">
        <v>91</v>
      </c>
      <c r="B31" s="39"/>
      <c r="F31" s="12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3" t="s">
        <v>92</v>
      </c>
      <c r="B32" s="39"/>
      <c r="F32" s="3">
        <v>25.0</v>
      </c>
      <c r="G32" s="3">
        <v>40.0</v>
      </c>
      <c r="H32" s="3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3" t="s">
        <v>94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3" t="s">
        <v>96</v>
      </c>
      <c r="B34" s="22"/>
      <c r="J34" s="22"/>
      <c r="O34" s="15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3" t="s">
        <v>104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3" t="s">
        <v>106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3" t="s">
        <v>107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3" t="s">
        <v>108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110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3" t="s">
        <v>112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3" t="s">
        <v>115</v>
      </c>
      <c r="BZ40" s="25">
        <v>54.0</v>
      </c>
      <c r="CA40" s="25"/>
      <c r="CB40" s="25"/>
      <c r="CC40" s="25"/>
      <c r="CD40" s="25"/>
      <c r="CE40" s="25"/>
    </row>
    <row r="41">
      <c r="A41" s="3" t="s">
        <v>117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3" t="s">
        <v>121</v>
      </c>
      <c r="B42" s="22"/>
      <c r="O42" s="15"/>
      <c r="Q42" s="39">
        <v>401.0</v>
      </c>
      <c r="R42" s="39">
        <v>544.0</v>
      </c>
      <c r="S42" s="39">
        <v>804.0</v>
      </c>
      <c r="T42" s="39">
        <v>798.0</v>
      </c>
      <c r="U42" s="39">
        <v>798.0</v>
      </c>
      <c r="V42" s="39">
        <v>786.0</v>
      </c>
      <c r="W42" s="39">
        <v>795.0</v>
      </c>
      <c r="X42" s="39">
        <v>780.0</v>
      </c>
      <c r="Y42" s="39">
        <v>839.0</v>
      </c>
      <c r="Z42" s="39">
        <v>875.0</v>
      </c>
      <c r="AA42" s="39">
        <v>854.0</v>
      </c>
      <c r="AB42" s="39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3" t="s">
        <v>125</v>
      </c>
      <c r="B43" s="22"/>
      <c r="O43" s="15"/>
      <c r="Q43" s="39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3" t="s">
        <v>127</v>
      </c>
      <c r="B44" s="39">
        <v>368.0</v>
      </c>
      <c r="C44" s="39">
        <v>384.0</v>
      </c>
      <c r="D44" s="39">
        <v>383.0</v>
      </c>
      <c r="E44" s="39">
        <v>393.0</v>
      </c>
      <c r="F44" s="39">
        <v>398.0</v>
      </c>
      <c r="G44" s="39">
        <v>388.0</v>
      </c>
      <c r="H44" s="39">
        <v>387.0</v>
      </c>
      <c r="I44" s="39">
        <v>392.0</v>
      </c>
      <c r="O44" s="15"/>
      <c r="Q44" s="39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9"/>
      <c r="Q45" s="39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128</v>
      </c>
      <c r="B46" s="39">
        <f t="shared" ref="B46:BA46" si="6">sum(B10:B44)</f>
        <v>4647</v>
      </c>
      <c r="C46" s="39">
        <f t="shared" si="6"/>
        <v>4693</v>
      </c>
      <c r="D46" s="39">
        <f t="shared" si="6"/>
        <v>4830</v>
      </c>
      <c r="E46" s="39">
        <f t="shared" si="6"/>
        <v>5072</v>
      </c>
      <c r="F46" s="18">
        <f t="shared" si="6"/>
        <v>5166</v>
      </c>
      <c r="G46" s="39">
        <f t="shared" si="6"/>
        <v>5268</v>
      </c>
      <c r="H46" s="39">
        <f t="shared" si="6"/>
        <v>5407</v>
      </c>
      <c r="I46" s="39">
        <f t="shared" si="6"/>
        <v>5763</v>
      </c>
      <c r="J46" s="39">
        <f t="shared" si="6"/>
        <v>6054</v>
      </c>
      <c r="K46" s="39">
        <f t="shared" si="6"/>
        <v>6128</v>
      </c>
      <c r="L46" s="39">
        <f t="shared" si="6"/>
        <v>6360</v>
      </c>
      <c r="M46" s="39">
        <f t="shared" si="6"/>
        <v>6527</v>
      </c>
      <c r="N46" s="39">
        <f t="shared" si="6"/>
        <v>6662</v>
      </c>
      <c r="O46" s="39">
        <f t="shared" si="6"/>
        <v>6991</v>
      </c>
      <c r="P46" s="39">
        <f t="shared" si="6"/>
        <v>7370</v>
      </c>
      <c r="Q46" s="39">
        <f t="shared" si="6"/>
        <v>8460</v>
      </c>
      <c r="R46" s="39">
        <f t="shared" si="6"/>
        <v>9361</v>
      </c>
      <c r="S46" s="39">
        <f t="shared" si="6"/>
        <v>9860</v>
      </c>
      <c r="T46" s="39">
        <f t="shared" si="6"/>
        <v>11018</v>
      </c>
      <c r="U46" s="39">
        <f t="shared" si="6"/>
        <v>11278</v>
      </c>
      <c r="V46" s="39">
        <f t="shared" si="6"/>
        <v>11749</v>
      </c>
      <c r="W46" s="39">
        <f t="shared" si="6"/>
        <v>11750</v>
      </c>
      <c r="X46" s="39">
        <f t="shared" si="6"/>
        <v>12125</v>
      </c>
      <c r="Y46" s="39">
        <f t="shared" si="6"/>
        <v>12121</v>
      </c>
      <c r="Z46" s="39">
        <f t="shared" si="6"/>
        <v>12198</v>
      </c>
      <c r="AA46" s="39">
        <f t="shared" si="6"/>
        <v>13222</v>
      </c>
      <c r="AB46" s="39">
        <f t="shared" si="6"/>
        <v>13600</v>
      </c>
      <c r="AC46" s="39">
        <f t="shared" si="6"/>
        <v>14033</v>
      </c>
      <c r="AD46" s="39">
        <f t="shared" si="6"/>
        <v>14505</v>
      </c>
      <c r="AE46" s="39">
        <f t="shared" si="6"/>
        <v>14700</v>
      </c>
      <c r="AF46" s="39">
        <f t="shared" si="6"/>
        <v>14734</v>
      </c>
      <c r="AG46" s="39">
        <f t="shared" si="6"/>
        <v>14824</v>
      </c>
      <c r="AH46" s="39">
        <f t="shared" si="6"/>
        <v>14649</v>
      </c>
      <c r="AI46" s="39">
        <f t="shared" si="6"/>
        <v>14088</v>
      </c>
      <c r="AJ46" s="39">
        <f t="shared" si="6"/>
        <v>13749</v>
      </c>
      <c r="AK46" s="39">
        <f t="shared" si="6"/>
        <v>13156</v>
      </c>
      <c r="AL46" s="39">
        <f t="shared" si="6"/>
        <v>12722</v>
      </c>
      <c r="AM46" s="39">
        <f t="shared" si="6"/>
        <v>12350</v>
      </c>
      <c r="AN46" s="39">
        <f t="shared" si="6"/>
        <v>12084</v>
      </c>
      <c r="AO46" s="39">
        <f t="shared" si="6"/>
        <v>11592</v>
      </c>
      <c r="AP46" s="39">
        <f t="shared" si="6"/>
        <v>11207</v>
      </c>
      <c r="AQ46" s="39">
        <f t="shared" si="6"/>
        <v>10643</v>
      </c>
      <c r="AR46" s="39">
        <f t="shared" si="6"/>
        <v>10208</v>
      </c>
      <c r="AS46" s="39">
        <f t="shared" si="6"/>
        <v>9700</v>
      </c>
      <c r="AT46" s="39">
        <f t="shared" si="6"/>
        <v>9398</v>
      </c>
      <c r="AU46" s="39">
        <f t="shared" si="6"/>
        <v>8967</v>
      </c>
      <c r="AV46" s="39">
        <f t="shared" si="6"/>
        <v>8605</v>
      </c>
      <c r="AW46" s="39">
        <f t="shared" si="6"/>
        <v>8190</v>
      </c>
      <c r="AX46" s="39">
        <f t="shared" si="6"/>
        <v>7793</v>
      </c>
      <c r="AY46" s="39">
        <f t="shared" si="6"/>
        <v>7603</v>
      </c>
      <c r="AZ46" s="39">
        <f t="shared" si="6"/>
        <v>7387</v>
      </c>
      <c r="BA46" s="39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129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9"/>
      <c r="Q48" s="39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9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9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9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9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9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9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9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9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9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5" t="s">
        <v>68</v>
      </c>
      <c r="B2" s="36">
        <v>5596.0</v>
      </c>
      <c r="C2" s="36">
        <v>5567.0</v>
      </c>
      <c r="D2" s="36">
        <v>5584.0</v>
      </c>
      <c r="E2" s="36">
        <v>5567.0</v>
      </c>
      <c r="F2" s="36">
        <v>5566.0</v>
      </c>
      <c r="G2" s="36">
        <v>5596.0</v>
      </c>
      <c r="H2" s="35">
        <v>5592.0</v>
      </c>
      <c r="I2" s="35">
        <v>5571.0</v>
      </c>
      <c r="J2" s="35">
        <v>5568.0</v>
      </c>
      <c r="K2" s="35">
        <v>5506.0</v>
      </c>
      <c r="L2" s="35">
        <v>5560.0</v>
      </c>
      <c r="M2" s="35">
        <v>5579.0</v>
      </c>
      <c r="N2" s="35">
        <v>5590.0</v>
      </c>
      <c r="O2" s="35">
        <v>5567.0</v>
      </c>
      <c r="P2" s="35">
        <v>5529.0</v>
      </c>
      <c r="Q2" s="37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37">
        <v>5461.0</v>
      </c>
      <c r="Z2" s="37">
        <v>5447.0</v>
      </c>
      <c r="AA2" s="37">
        <v>5454.0</v>
      </c>
      <c r="AB2" s="37">
        <v>5446.0</v>
      </c>
      <c r="AC2" s="37">
        <v>5389.0</v>
      </c>
      <c r="AD2" s="37">
        <v>5378.0</v>
      </c>
      <c r="AE2" s="37">
        <v>5343.0</v>
      </c>
      <c r="AF2" s="37">
        <v>5351.0</v>
      </c>
      <c r="AG2" s="37">
        <v>5374.0</v>
      </c>
      <c r="AH2" s="37">
        <v>5374.0</v>
      </c>
      <c r="AI2" s="37">
        <v>5354.0</v>
      </c>
      <c r="AJ2" s="37">
        <v>5337.0</v>
      </c>
      <c r="AK2" s="37">
        <v>5303.0</v>
      </c>
      <c r="AL2" s="37">
        <v>5299.0</v>
      </c>
      <c r="AM2" s="37">
        <v>5348.0</v>
      </c>
      <c r="AN2" s="37">
        <v>5317.0</v>
      </c>
      <c r="AO2" s="37">
        <v>5302.0</v>
      </c>
      <c r="AP2" s="37">
        <v>5301.0</v>
      </c>
      <c r="AQ2" s="37">
        <v>5312.0</v>
      </c>
      <c r="AR2" s="37">
        <v>5315.0</v>
      </c>
      <c r="AS2" s="37">
        <v>5292.0</v>
      </c>
      <c r="AT2" s="37">
        <v>5330.0</v>
      </c>
      <c r="AU2" s="37">
        <v>5330.0</v>
      </c>
      <c r="AV2" s="37">
        <v>5315.0</v>
      </c>
      <c r="AW2" s="37">
        <v>5287.0</v>
      </c>
      <c r="AX2" s="37">
        <v>5252.0</v>
      </c>
      <c r="AY2" s="37">
        <v>5234.0</v>
      </c>
      <c r="AZ2" s="37">
        <v>5163.0</v>
      </c>
      <c r="BA2" s="37">
        <v>5174.0</v>
      </c>
      <c r="BB2" s="37">
        <v>5136.0</v>
      </c>
      <c r="BC2" s="37">
        <v>5112.0</v>
      </c>
      <c r="BD2" s="37">
        <v>5105.0</v>
      </c>
      <c r="BE2" s="37">
        <v>5096.0</v>
      </c>
      <c r="BF2" s="37">
        <v>5053.0</v>
      </c>
      <c r="BG2" s="37">
        <v>5007.0</v>
      </c>
      <c r="BH2" s="37">
        <v>5009.0</v>
      </c>
      <c r="BI2" s="37">
        <v>5020.0</v>
      </c>
      <c r="BJ2" s="37">
        <v>4991.0</v>
      </c>
      <c r="BK2" s="37">
        <v>4990.0</v>
      </c>
      <c r="BL2" s="37">
        <v>5003.0</v>
      </c>
      <c r="BM2" s="37">
        <v>4989.0</v>
      </c>
      <c r="BN2" s="37">
        <v>4996.0</v>
      </c>
      <c r="BO2" s="37">
        <v>4969.0</v>
      </c>
      <c r="BP2" s="37">
        <v>4965.0</v>
      </c>
      <c r="BQ2" s="37">
        <v>4942.0</v>
      </c>
      <c r="BR2" s="37">
        <v>4960.0</v>
      </c>
      <c r="BS2" s="37">
        <v>4918.0</v>
      </c>
      <c r="BT2" s="37">
        <v>4929.0</v>
      </c>
      <c r="BU2" s="37">
        <v>4909.0</v>
      </c>
      <c r="BV2" s="37">
        <v>4932.0</v>
      </c>
      <c r="BW2" s="37">
        <v>4952.0</v>
      </c>
      <c r="BX2" s="37">
        <v>4956.0</v>
      </c>
      <c r="BY2" s="37">
        <v>4950.0</v>
      </c>
      <c r="BZ2" s="37">
        <v>4930.0</v>
      </c>
      <c r="CA2" s="37">
        <v>4930.0</v>
      </c>
      <c r="CB2" s="37">
        <v>4784.0</v>
      </c>
      <c r="CC2" s="37">
        <v>4735.0</v>
      </c>
      <c r="CD2" s="37">
        <v>4679.0</v>
      </c>
      <c r="CE2" s="37">
        <v>4626.0</v>
      </c>
      <c r="CF2" s="37">
        <v>4701.0</v>
      </c>
      <c r="CG2" s="37">
        <v>4647.0</v>
      </c>
      <c r="CH2" s="37">
        <v>4576.0</v>
      </c>
      <c r="CI2" s="37">
        <v>4489.0</v>
      </c>
      <c r="CJ2" s="37">
        <v>4416.0</v>
      </c>
      <c r="CK2" s="37">
        <v>4408.0</v>
      </c>
      <c r="CL2" s="37">
        <v>4277.0</v>
      </c>
      <c r="CM2" s="37">
        <v>4242.0</v>
      </c>
      <c r="CN2" s="37">
        <v>4201.0</v>
      </c>
      <c r="CO2" s="37">
        <v>4111.0</v>
      </c>
      <c r="CP2" s="37">
        <v>4066.0</v>
      </c>
      <c r="CQ2" s="37">
        <v>4007.0</v>
      </c>
      <c r="CR2" s="37">
        <v>3951.0</v>
      </c>
      <c r="CS2" s="37">
        <v>3906.0</v>
      </c>
      <c r="CT2" s="37">
        <v>3869.0</v>
      </c>
      <c r="CU2" s="37">
        <v>3831.0</v>
      </c>
      <c r="CV2" s="37">
        <v>3746.0</v>
      </c>
      <c r="CW2" s="37">
        <v>3703.0</v>
      </c>
      <c r="CX2" s="37">
        <v>3628.0</v>
      </c>
      <c r="CY2" s="37">
        <v>3575.0</v>
      </c>
      <c r="CZ2" s="37">
        <v>3485.0</v>
      </c>
      <c r="DA2" s="37">
        <v>3450.0</v>
      </c>
      <c r="DB2" s="37">
        <v>3373.0</v>
      </c>
      <c r="DC2" s="37">
        <v>3330.0</v>
      </c>
      <c r="DD2" s="37">
        <v>3291.0</v>
      </c>
      <c r="DE2" s="37">
        <v>3114.0</v>
      </c>
      <c r="DF2" s="37">
        <v>3073.0</v>
      </c>
      <c r="DG2" s="37">
        <v>3016.0</v>
      </c>
      <c r="DH2" s="37">
        <v>2903.0</v>
      </c>
      <c r="DI2" s="37">
        <v>2825.0</v>
      </c>
      <c r="DJ2" s="37">
        <v>2739.0</v>
      </c>
      <c r="DK2" s="37">
        <v>2671.0</v>
      </c>
      <c r="DL2" s="37">
        <v>2643.0</v>
      </c>
      <c r="DM2" s="37">
        <v>2610.0</v>
      </c>
      <c r="DN2" s="37">
        <v>2563.0</v>
      </c>
      <c r="DO2" s="37">
        <v>2529.0</v>
      </c>
      <c r="DP2" s="37">
        <v>2535.0</v>
      </c>
      <c r="DQ2" s="37">
        <v>2487.0</v>
      </c>
      <c r="DR2" s="37">
        <v>2459.0</v>
      </c>
      <c r="DS2" s="37">
        <v>2487.0</v>
      </c>
      <c r="DT2" s="37">
        <v>2495.0</v>
      </c>
      <c r="DU2" s="37">
        <v>2476.0</v>
      </c>
    </row>
    <row r="3">
      <c r="A3" s="35" t="s">
        <v>69</v>
      </c>
      <c r="B3" s="35">
        <v>9.0</v>
      </c>
      <c r="C3" s="35">
        <v>30.0</v>
      </c>
      <c r="D3" s="35">
        <v>9.0</v>
      </c>
      <c r="E3" s="35">
        <v>5.0</v>
      </c>
      <c r="F3" s="35">
        <v>33.0</v>
      </c>
      <c r="G3" s="35">
        <v>23.0</v>
      </c>
      <c r="H3" s="35">
        <v>9.0</v>
      </c>
      <c r="I3" s="35">
        <v>22.0</v>
      </c>
      <c r="J3" s="35">
        <v>6.0</v>
      </c>
      <c r="K3" s="35">
        <v>11.0</v>
      </c>
      <c r="L3" s="35">
        <v>7.0</v>
      </c>
      <c r="M3" s="35">
        <v>43.0</v>
      </c>
      <c r="N3" s="35">
        <v>14.0</v>
      </c>
      <c r="O3" s="35">
        <v>5.0</v>
      </c>
      <c r="P3" s="35">
        <v>9.0</v>
      </c>
      <c r="Q3" s="35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5">
        <v>15.0</v>
      </c>
      <c r="Z3" s="35">
        <v>29.0</v>
      </c>
      <c r="AA3" s="35">
        <v>23.0</v>
      </c>
      <c r="AB3" s="35">
        <v>21.0</v>
      </c>
      <c r="AC3" s="35">
        <v>11.0</v>
      </c>
      <c r="AD3" s="35">
        <v>17.0</v>
      </c>
      <c r="AE3" s="35">
        <v>34.0</v>
      </c>
      <c r="AF3" s="35">
        <v>18.0</v>
      </c>
      <c r="AG3" s="35">
        <v>16.0</v>
      </c>
      <c r="AH3" s="35">
        <v>17.0</v>
      </c>
      <c r="AI3" s="35">
        <v>17.0</v>
      </c>
      <c r="AJ3" s="35">
        <v>18.0</v>
      </c>
      <c r="AK3" s="35">
        <v>17.0</v>
      </c>
      <c r="AL3" s="35">
        <v>64.0</v>
      </c>
      <c r="AM3" s="35">
        <v>10.0</v>
      </c>
      <c r="AN3" s="35">
        <v>7.0</v>
      </c>
      <c r="AO3" s="35">
        <v>11.0</v>
      </c>
      <c r="AP3" s="35">
        <v>18.0</v>
      </c>
      <c r="AQ3" s="35">
        <v>12.0</v>
      </c>
      <c r="AR3" s="35">
        <v>10.0</v>
      </c>
      <c r="AS3" s="35">
        <v>38.0</v>
      </c>
      <c r="AT3" s="35">
        <v>28.0</v>
      </c>
      <c r="AU3" s="35">
        <v>14.0</v>
      </c>
      <c r="AV3" s="35">
        <v>25.0</v>
      </c>
      <c r="AW3" s="35">
        <v>10.0</v>
      </c>
      <c r="AX3" s="35">
        <v>8.0</v>
      </c>
      <c r="AY3" s="35">
        <v>9.0</v>
      </c>
      <c r="AZ3" s="35">
        <v>30.0</v>
      </c>
      <c r="BA3" s="35">
        <v>13.0</v>
      </c>
      <c r="BB3" s="35">
        <v>6.0</v>
      </c>
      <c r="BC3" s="35">
        <v>9.0</v>
      </c>
      <c r="BD3" s="35">
        <v>15.0</v>
      </c>
      <c r="BE3" s="35">
        <v>11.0</v>
      </c>
      <c r="BF3" s="35">
        <v>27.0</v>
      </c>
      <c r="BG3" s="35">
        <v>27.0</v>
      </c>
      <c r="BH3" s="35">
        <v>52.0</v>
      </c>
      <c r="BI3" s="35">
        <v>25.0</v>
      </c>
      <c r="BJ3" s="35">
        <v>12.0</v>
      </c>
      <c r="BK3" s="35">
        <v>11.0</v>
      </c>
      <c r="BL3" s="35">
        <v>13.0</v>
      </c>
      <c r="BM3" s="35">
        <v>8.0</v>
      </c>
      <c r="BN3" s="35">
        <v>21.0</v>
      </c>
      <c r="BO3" s="35">
        <v>16.0</v>
      </c>
      <c r="BP3" s="35">
        <v>14.0</v>
      </c>
      <c r="BQ3" s="35">
        <v>13.0</v>
      </c>
      <c r="BR3" s="35">
        <v>3.0</v>
      </c>
      <c r="BS3" s="35">
        <v>12.0</v>
      </c>
      <c r="BT3" s="35">
        <v>8.0</v>
      </c>
      <c r="BU3" s="3">
        <v>46.0</v>
      </c>
      <c r="BV3" s="35">
        <v>33.0</v>
      </c>
      <c r="BW3" s="35">
        <v>17.0</v>
      </c>
      <c r="BX3" s="35">
        <v>28.0</v>
      </c>
      <c r="BY3" s="35">
        <v>2.0</v>
      </c>
      <c r="BZ3" s="35">
        <v>9.0</v>
      </c>
      <c r="CA3" s="35">
        <v>5.0</v>
      </c>
      <c r="CB3" s="35">
        <v>30.0</v>
      </c>
      <c r="CC3" s="35">
        <v>32.0</v>
      </c>
      <c r="CD3" s="35">
        <v>16.0</v>
      </c>
      <c r="CE3" s="35">
        <v>11.0</v>
      </c>
      <c r="CF3" s="35">
        <v>11.0</v>
      </c>
      <c r="CG3" s="35">
        <v>15.0</v>
      </c>
      <c r="CH3" s="35">
        <v>10.0</v>
      </c>
      <c r="CI3" s="35">
        <v>27.0</v>
      </c>
      <c r="CJ3" s="35">
        <v>13.0</v>
      </c>
      <c r="CK3" s="35">
        <v>18.0</v>
      </c>
      <c r="CL3" s="35">
        <v>13.0</v>
      </c>
      <c r="CM3" s="35">
        <v>16.0</v>
      </c>
      <c r="CN3" s="35">
        <v>7.0</v>
      </c>
      <c r="CO3" s="35">
        <v>5.0</v>
      </c>
      <c r="CP3" s="35">
        <v>20.0</v>
      </c>
      <c r="CQ3" s="35">
        <v>7.0</v>
      </c>
      <c r="CR3" s="35">
        <v>4.0</v>
      </c>
      <c r="CS3" s="35">
        <v>23.0</v>
      </c>
      <c r="CT3" s="35">
        <v>12.0</v>
      </c>
      <c r="CU3" s="35">
        <v>8.0</v>
      </c>
      <c r="CV3" s="35">
        <v>3.0</v>
      </c>
      <c r="CW3" s="35">
        <v>10.0</v>
      </c>
      <c r="CX3" s="35">
        <v>23.0</v>
      </c>
      <c r="CY3" s="35">
        <v>3.0</v>
      </c>
      <c r="CZ3" s="35">
        <v>10.0</v>
      </c>
      <c r="DA3" s="35">
        <v>10.0</v>
      </c>
      <c r="DB3" s="35">
        <v>4.0</v>
      </c>
      <c r="DC3" s="35">
        <v>8.0</v>
      </c>
      <c r="DD3" s="35">
        <v>8.0</v>
      </c>
      <c r="DE3" s="35">
        <v>5.0</v>
      </c>
      <c r="DF3" s="35">
        <v>6.0</v>
      </c>
      <c r="DG3" s="35">
        <v>0.0</v>
      </c>
      <c r="DH3" s="35">
        <v>0.0</v>
      </c>
      <c r="DI3" s="35">
        <v>0.0</v>
      </c>
      <c r="DJ3" s="35">
        <v>16.0</v>
      </c>
      <c r="DK3" s="35">
        <v>10.0</v>
      </c>
      <c r="DL3" s="35">
        <v>10.0</v>
      </c>
      <c r="DM3" s="35">
        <v>3.0</v>
      </c>
      <c r="DN3" s="35">
        <v>4.0</v>
      </c>
      <c r="DO3" s="35">
        <v>7.0</v>
      </c>
      <c r="DP3" s="35">
        <v>3.0</v>
      </c>
      <c r="DQ3" s="35">
        <v>3.0</v>
      </c>
      <c r="DR3" s="35">
        <v>0.0</v>
      </c>
      <c r="DS3" s="35">
        <v>0.0</v>
      </c>
      <c r="DT3" s="35">
        <v>2.0</v>
      </c>
      <c r="DU3" s="35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128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68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69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2" t="s">
        <v>93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95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97</v>
      </c>
      <c r="AZ2" s="3" t="s">
        <v>98</v>
      </c>
      <c r="BA2" s="3" t="s">
        <v>99</v>
      </c>
      <c r="BB2" s="3" t="s">
        <v>100</v>
      </c>
      <c r="BC2" s="3" t="s">
        <v>101</v>
      </c>
      <c r="BE2" s="3" t="s">
        <v>102</v>
      </c>
      <c r="BF2" s="3"/>
      <c r="BG2" s="3"/>
    </row>
    <row r="3">
      <c r="A3" s="3" t="s">
        <v>103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105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44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22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29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51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53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109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34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111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58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113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114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116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118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119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120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122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123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9">
        <v>5.0</v>
      </c>
      <c r="I21" s="22">
        <v>0.0</v>
      </c>
      <c r="J21" s="39">
        <v>2.0</v>
      </c>
      <c r="K21" s="39">
        <v>6.0</v>
      </c>
      <c r="L21" s="22">
        <v>0.0</v>
      </c>
      <c r="M21" s="39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9">
        <v>0.0</v>
      </c>
      <c r="AD21" s="39">
        <v>0.0</v>
      </c>
      <c r="AE21" s="39">
        <v>4.0</v>
      </c>
      <c r="AF21" s="39">
        <v>2.0</v>
      </c>
      <c r="AG21" s="39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124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2"/>
      <c r="F23" s="12"/>
      <c r="I23" s="12"/>
      <c r="L23" s="28"/>
      <c r="M23" s="15"/>
      <c r="P23" s="12"/>
      <c r="Q23" s="15"/>
      <c r="R23" s="23"/>
      <c r="S23" s="28"/>
      <c r="Y23" s="15"/>
      <c r="Z23" s="44"/>
      <c r="AA23" s="28"/>
      <c r="AW23" s="35" t="s">
        <v>126</v>
      </c>
      <c r="AX23" s="35"/>
      <c r="AY23" s="35"/>
      <c r="AZ23" s="35"/>
      <c r="BA23" s="35"/>
      <c r="BB23" s="35"/>
      <c r="BC23" s="35"/>
      <c r="BD23" s="35"/>
      <c r="BE23" s="35"/>
      <c r="BF23" s="35"/>
      <c r="BG23" s="35"/>
    </row>
    <row r="24">
      <c r="B24" s="28"/>
      <c r="E24" s="12"/>
      <c r="F24" s="12"/>
      <c r="I24" s="12"/>
      <c r="L24" s="28"/>
      <c r="M24" s="15"/>
      <c r="P24" s="12"/>
      <c r="Q24" s="15"/>
      <c r="R24" s="23"/>
      <c r="S24" s="28"/>
      <c r="Y24" s="15"/>
      <c r="Z24" s="44"/>
      <c r="AA24" s="28"/>
    </row>
    <row r="25">
      <c r="B25" s="28"/>
      <c r="E25" s="12"/>
      <c r="F25" s="12"/>
      <c r="G25" s="28"/>
      <c r="H25" s="15"/>
      <c r="I25" s="12"/>
      <c r="L25" s="28"/>
      <c r="M25" s="15"/>
      <c r="P25" s="12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5"/>
      <c r="I26" s="12"/>
      <c r="L26" s="28"/>
      <c r="M26" s="15"/>
      <c r="N26" s="28"/>
      <c r="O26" s="15"/>
      <c r="P26" s="12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5"/>
      <c r="I27" s="12"/>
      <c r="L27" s="28"/>
      <c r="M27" s="15"/>
      <c r="N27" s="28"/>
      <c r="O27" s="15"/>
      <c r="P27" s="12"/>
      <c r="Q27" s="15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5"/>
      <c r="L28" s="28"/>
      <c r="M28" s="15"/>
      <c r="N28" s="28"/>
      <c r="O28" s="15"/>
      <c r="P28" s="12"/>
      <c r="Q28" s="15"/>
      <c r="R28" s="44"/>
      <c r="S28" s="28"/>
      <c r="X28" s="12"/>
      <c r="AA28" s="12"/>
      <c r="AB28" s="15"/>
      <c r="AC28" s="23"/>
      <c r="AD28" s="23"/>
    </row>
    <row r="29">
      <c r="B29" s="12"/>
      <c r="C29" s="22"/>
      <c r="E29" s="12"/>
      <c r="F29" s="12"/>
      <c r="G29" s="28"/>
      <c r="H29" s="15"/>
      <c r="L29" s="28"/>
      <c r="M29" s="15"/>
      <c r="N29" s="28"/>
      <c r="O29" s="15"/>
      <c r="P29" s="12"/>
      <c r="Q29" s="15"/>
      <c r="R29" s="44"/>
      <c r="S29" s="28"/>
      <c r="X29" s="12"/>
      <c r="AA29" s="12"/>
      <c r="AC29" s="28"/>
      <c r="AD29" s="15"/>
    </row>
    <row r="30">
      <c r="B30" s="12"/>
      <c r="C30" s="22"/>
      <c r="E30" s="12"/>
      <c r="F30" s="12"/>
      <c r="G30" s="28"/>
      <c r="H30" s="15"/>
      <c r="N30" s="28"/>
      <c r="O30" s="15"/>
      <c r="P30" s="12"/>
      <c r="X30" s="12"/>
      <c r="AA30" s="12"/>
      <c r="AC30" s="28"/>
      <c r="AD30" s="15"/>
    </row>
    <row r="31">
      <c r="B31" s="12"/>
      <c r="C31" s="22"/>
      <c r="E31" s="12"/>
      <c r="F31" s="12"/>
      <c r="G31" s="28"/>
      <c r="H31" s="15"/>
      <c r="N31" s="28"/>
      <c r="O31" s="15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8"/>
      <c r="H32" s="15"/>
      <c r="N32" s="28"/>
      <c r="O32" s="15"/>
      <c r="P32" s="12"/>
      <c r="X32" s="12"/>
      <c r="AA32" s="12"/>
      <c r="AC32" s="28"/>
      <c r="AD32" s="15"/>
    </row>
    <row r="33">
      <c r="B33" s="12"/>
      <c r="C33" s="22"/>
      <c r="E33" s="12"/>
      <c r="F33" s="12"/>
      <c r="G33" s="28"/>
      <c r="H33" s="15"/>
      <c r="N33" s="28"/>
      <c r="O33" s="15"/>
      <c r="X33" s="12"/>
      <c r="AA33" s="12"/>
      <c r="AC33" s="28"/>
      <c r="AD33" s="15"/>
    </row>
    <row r="34">
      <c r="E34" s="12"/>
      <c r="F34" s="12"/>
      <c r="G34" s="28"/>
      <c r="H34" s="15"/>
      <c r="N34" s="28"/>
      <c r="O34" s="15"/>
      <c r="X34" s="12"/>
      <c r="AA34" s="12"/>
      <c r="AC34" s="28"/>
      <c r="AD34" s="15"/>
    </row>
    <row r="35">
      <c r="B35" s="12"/>
      <c r="C35" s="22"/>
      <c r="E35" s="12"/>
      <c r="F35" s="12"/>
      <c r="G35" s="28"/>
      <c r="H35" s="15"/>
      <c r="N35" s="28"/>
      <c r="O35" s="15"/>
      <c r="X35" s="12"/>
      <c r="AA35" s="12"/>
      <c r="AC35" s="28"/>
      <c r="AD35" s="15"/>
    </row>
    <row r="36">
      <c r="B36" s="12"/>
      <c r="C36" s="22"/>
      <c r="E36" s="12"/>
      <c r="F36" s="12"/>
      <c r="G36" s="28"/>
      <c r="H36" s="15"/>
      <c r="N36" s="28"/>
      <c r="O36" s="15"/>
      <c r="X36" s="12"/>
      <c r="AA36" s="12"/>
      <c r="AC36" s="28"/>
      <c r="AD36" s="15"/>
    </row>
    <row r="37">
      <c r="B37" s="12"/>
      <c r="C37" s="22"/>
      <c r="E37" s="12"/>
      <c r="F37" s="12"/>
      <c r="G37" s="28"/>
      <c r="H37" s="15"/>
      <c r="N37" s="28"/>
      <c r="O37" s="15"/>
      <c r="X37" s="12"/>
      <c r="AA37" s="12"/>
    </row>
    <row r="38">
      <c r="B38" s="12"/>
      <c r="C38" s="22"/>
      <c r="E38" s="12"/>
      <c r="F38" s="12"/>
      <c r="G38" s="28"/>
      <c r="H38" s="15"/>
      <c r="N38" s="28"/>
      <c r="O38" s="15"/>
      <c r="X38" s="12"/>
      <c r="AA38" s="12"/>
    </row>
    <row r="39">
      <c r="B39" s="12"/>
      <c r="C39" s="22"/>
      <c r="E39" s="12"/>
      <c r="F39" s="12"/>
      <c r="G39" s="28"/>
      <c r="H39" s="15"/>
      <c r="N39" s="28"/>
      <c r="O39" s="15"/>
      <c r="X39" s="12"/>
      <c r="AA39" s="12"/>
    </row>
    <row r="40">
      <c r="B40" s="12"/>
      <c r="C40" s="22"/>
      <c r="E40" s="12"/>
      <c r="F40" s="12"/>
      <c r="G40" s="28"/>
      <c r="H40" s="15"/>
      <c r="X40" s="12"/>
      <c r="AA40" s="12"/>
    </row>
    <row r="41">
      <c r="B41" s="12"/>
      <c r="C41" s="22"/>
      <c r="E41" s="12"/>
      <c r="G41" s="28"/>
      <c r="H41" s="15"/>
      <c r="X41" s="12"/>
      <c r="AA41" s="12"/>
    </row>
    <row r="42">
      <c r="B42" s="12"/>
      <c r="E42" s="12"/>
      <c r="G42" s="28"/>
      <c r="H42" s="15"/>
      <c r="X42" s="12"/>
      <c r="AA42" s="12"/>
    </row>
    <row r="43">
      <c r="B43" s="12"/>
      <c r="E43" s="12"/>
      <c r="G43" s="28"/>
      <c r="H43" s="15"/>
      <c r="X43" s="12"/>
      <c r="AA43" s="12"/>
    </row>
    <row r="44">
      <c r="B44" s="12"/>
      <c r="E44" s="12"/>
      <c r="G44" s="28"/>
      <c r="H44" s="15"/>
      <c r="X44" s="12"/>
      <c r="AA44" s="12"/>
    </row>
    <row r="45">
      <c r="B45" s="12"/>
      <c r="E45" s="12"/>
      <c r="G45" s="28"/>
      <c r="H45" s="15"/>
      <c r="X45" s="12"/>
      <c r="AA45" s="12"/>
    </row>
    <row r="46">
      <c r="B46" s="12"/>
      <c r="E46" s="12"/>
      <c r="G46" s="28"/>
      <c r="H46" s="15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