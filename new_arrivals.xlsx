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<sst xmlns="http://schemas.openxmlformats.org/spreadsheetml/2006/main" count="165" uniqueCount="141">
  <si>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</si>
  <si>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* = potential data entry error</t>
  </si>
  <si>
    <t>TOTAL 60 DAY SHELTER EXITS (Press)</t>
  </si>
  <si>
    <t>TOTAL 60 DAY SHELTER EXITS</t>
  </si>
  <si>
    <t>Total New Arrivals to Date</t>
  </si>
  <si>
    <t>51643*</t>
  </si>
  <si>
    <t>Total Exits from Sheltering System (Individuals)</t>
  </si>
  <si>
    <t>39409*</t>
  </si>
  <si>
    <t>INACTIVE DATA SETS</t>
  </si>
  <si>
    <t>COUNTRY OF ORIGIN AT SHELTERS</t>
  </si>
  <si>
    <t>Total New Arrivals Placed in Shelters by 311 to Date</t>
  </si>
  <si>
    <t>694 (interpolated)</t>
  </si>
  <si>
    <t>DAILY COUNT NO LONGER UPDATED HERE.</t>
  </si>
  <si>
    <t>Does not include State operated shelters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</si>
  <si>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</si>
  <si>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Venezuela</t>
  </si>
  <si>
    <t>4731*</t>
  </si>
  <si>
    <t>Colombia</t>
  </si>
  <si>
    <t>USA</t>
  </si>
  <si>
    <t>3681*</t>
  </si>
  <si>
    <t>Ecuador</t>
  </si>
  <si>
    <t>27*</t>
  </si>
  <si>
    <t>Peru</t>
  </si>
  <si>
    <t>Haiti</t>
  </si>
  <si>
    <t>Angola</t>
  </si>
  <si>
    <t>Honduras</t>
  </si>
  <si>
    <t>Other</t>
  </si>
  <si>
    <t>STAGING AREA</t>
  </si>
  <si>
    <t>Bolivia</t>
  </si>
  <si>
    <t>Brazil</t>
  </si>
  <si>
    <t>Chile</t>
  </si>
  <si>
    <t>Cuba</t>
  </si>
  <si>
    <t>Dominican Republic</t>
  </si>
  <si>
    <t>Landing Zone</t>
  </si>
  <si>
    <t>El Salvador</t>
  </si>
  <si>
    <t>O'Hare Airport</t>
  </si>
  <si>
    <t>Guatemala</t>
  </si>
  <si>
    <t>Midway Airport</t>
  </si>
  <si>
    <t>Mauritania</t>
  </si>
  <si>
    <t>Police Districts (All)</t>
  </si>
  <si>
    <t>Mexico</t>
  </si>
  <si>
    <t>STAGING AREA TOTAL</t>
  </si>
  <si>
    <t>Morocco</t>
  </si>
  <si>
    <t>Nicaragua</t>
  </si>
  <si>
    <t>Russia</t>
  </si>
  <si>
    <t>Sudan</t>
  </si>
  <si>
    <t>Unknown</t>
  </si>
  <si>
    <t>Minors Currently in Staging Area</t>
  </si>
  <si>
    <t>SHELTER</t>
  </si>
  <si>
    <t>American Islamic College</t>
  </si>
  <si>
    <t>Midway Shelter</t>
  </si>
  <si>
    <t>BUSES</t>
  </si>
  <si>
    <t>MWRD</t>
  </si>
  <si>
    <t>Buses Arrived in Last 7 Days at Landing Zone</t>
  </si>
  <si>
    <t>South DuSable</t>
  </si>
  <si>
    <t>Buses Arrived in Last 7 Days, not at Landing Zone</t>
  </si>
  <si>
    <t>YWLA</t>
  </si>
  <si>
    <t># OF PEOPLE</t>
  </si>
  <si>
    <t>60 Day Policy Exits in Last 7 Days</t>
  </si>
  <si>
    <t>INACTIVE SHELTERS</t>
  </si>
  <si>
    <t>Best Western Hotel</t>
  </si>
  <si>
    <t>138*</t>
  </si>
  <si>
    <t>60-Day Policy Exits Returned to Landing Zone in Last 7 Days</t>
  </si>
  <si>
    <t>Brands Park</t>
  </si>
  <si>
    <t>126*</t>
  </si>
  <si>
    <t>135*</t>
  </si>
  <si>
    <t>Landing Zone Arrivals via Texas Contracted Buses in Last 7 Days</t>
  </si>
  <si>
    <t>Broadway Armory</t>
  </si>
  <si>
    <t>Total Arrivals to Landing Zone in Last 7 Days</t>
  </si>
  <si>
    <t>Casa Esperanza</t>
  </si>
  <si>
    <t>Daley College</t>
  </si>
  <si>
    <t>Single Men</t>
  </si>
  <si>
    <t>Elston</t>
  </si>
  <si>
    <t>Single Women</t>
  </si>
  <si>
    <t xml:space="preserve">Families (individuals in a family unit) </t>
  </si>
  <si>
    <t>Gage Park</t>
  </si>
  <si>
    <t>Halsted</t>
  </si>
  <si>
    <t>New Arrivals Placed in Shelters from Landing Zone in Last 7 Days</t>
  </si>
  <si>
    <t>Harold Washington Library</t>
  </si>
  <si>
    <t>Inn of Chicago</t>
  </si>
  <si>
    <t>Landing Zone Arrivals as Walk-ins in Last 7 Days</t>
  </si>
  <si>
    <t>Lakeshore Hotel</t>
  </si>
  <si>
    <t>New Arrivals Placed in Shelters Last 7 Days</t>
  </si>
  <si>
    <t>Individuals via non Texas-Contracted Bus</t>
  </si>
  <si>
    <t>Leone Beach</t>
  </si>
  <si>
    <t>Indviduals via non Texas-Contracted Bus with Personal Movement Plans</t>
  </si>
  <si>
    <t>Individuals Arrived Via Texas Contracted Buses with Personal Movement Plans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</si>
  <si>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</si>
  <si>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</si>
  <si>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</si>
  <si>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</si>
  <si>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</si>
  <si>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</si>
  <si>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</si>
  <si>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</si>
  <si>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</si>
  <si>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</si>
  <si>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</si>
  <si>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</si>
  <si>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</si>
  <si>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</si>
  <si>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</si>
  <si>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</si>
  <si>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</si>
  <si>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</si>
  <si>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Total Shelter Residents</t>
  </si>
  <si>
    <t>Total Awaiting Placement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</si>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</sst>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right" readingOrder="0"/>
    </xf>
    <xf borderId="0" fillId="2" fontId="4" numFmtId="0" xfId="0" applyAlignment="1" applyFill="1" applyFont="1">
      <alignment readingOrder="0"/>
    </xf>
    <xf borderId="0" fillId="3" fontId="5" numFmtId="0" xfId="0" applyAlignment="1" applyFill="1" applyFont="1">
      <alignment horizontal="right" readingOrder="0" shrinkToFit="0" wrapText="0"/>
    </xf>
    <xf borderId="0" fillId="0" fontId="1" numFmtId="166" xfId="0" applyAlignment="1" applyFont="1" applyNumberFormat="1">
      <alignment readingOrder="0"/>
    </xf>
    <xf borderId="0" fillId="2" fontId="1" numFmtId="0" xfId="0" applyAlignment="1" applyFill="1" applyFont="1">
      <alignment readingOrder="0"/>
    </xf>
    <xf borderId="0" fillId="0" fontId="2" numFmtId="166" xfId="0" applyAlignment="1" applyFont="1" applyNumberFormat="1">
      <alignment readingOrder="0"/>
    </xf>
    <xf borderId="0" fillId="2" fontId="6" numFmtId="0" xfId="0" applyAlignment="1" applyFill="1" applyFont="1">
      <alignment readingOrder="0"/>
    </xf>
    <xf borderId="0" fillId="0" fontId="2" numFmtId="166" xfId="0" applyAlignment="1" applyFont="1" applyNumberFormat="1">
      <alignment horizontal="right" readingOrder="0"/>
    </xf>
    <xf borderId="0" fillId="0" fontId="7" numFmtId="166" xfId="0" applyAlignment="1" applyFont="1" applyNumberFormat="1">
      <alignment horizontal="right" vertical="bottom"/>
    </xf>
    <xf borderId="0" fillId="0" fontId="7" numFmtId="166" xfId="0" applyAlignment="1" applyFont="1" applyNumberFormat="1">
      <alignment horizontal="right" readingOrder="0" vertical="bottom"/>
    </xf>
    <xf borderId="0" fillId="0" fontId="1" numFmtId="166" xfId="0" applyAlignment="1" applyFont="1" applyNumberFormat="1">
      <alignment horizontal="right" readingOrder="0"/>
    </xf>
    <xf borderId="0" fillId="0" fontId="7" numFmtId="167" xfId="0" applyAlignment="1" applyFont="1" applyNumberFormat="1">
      <alignment vertical="bottom"/>
    </xf>
    <xf borderId="0" fillId="0" fontId="7" numFmtId="0" xfId="0" applyAlignment="1" applyFont="1">
      <alignment horizontal="right" readingOrder="0" vertical="bottom"/>
    </xf>
    <xf borderId="0" fillId="0" fontId="2" numFmtId="165" xfId="0" applyAlignment="1" applyFont="1" applyNumberFormat="1">
      <alignment readingOrder="0"/>
    </xf>
    <xf borderId="0" fillId="0" fontId="1" numFmtId="166" xfId="0" applyFont="1" applyNumberFormat="1"/>
    <xf borderId="0" fillId="0" fontId="2" numFmtId="166" xfId="0" applyFont="1" applyNumberFormat="1"/>
    <xf borderId="0" fillId="0" fontId="2" numFmtId="0" xfId="0" applyAlignment="1" applyFont="1">
      <alignment readingOrder="0"/>
    </xf>
    <xf borderId="0" fillId="0" fontId="7" numFmtId="0" xfId="0" applyAlignment="1" applyFont="1">
      <alignment horizontal="right" vertical="bottom"/>
    </xf>
    <xf borderId="0" fillId="0" fontId="7" numFmtId="167" xfId="0" applyAlignment="1" applyFont="1" applyNumberFormat="1">
      <alignment horizontal="right" vertical="bottom"/>
    </xf>
    <xf borderId="0" fillId="0" fontId="7" numFmtId="167" xfId="0" applyAlignment="1" applyFont="1" applyNumberFormat="1">
      <alignment readingOrder="0" vertical="bottom"/>
    </xf>
    <xf borderId="0" fillId="0" fontId="7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7" numFmtId="167" xfId="0" applyAlignment="1" applyFont="1" applyNumberFormat="1">
      <alignment horizontal="right" readingOrder="0" vertical="bottom"/>
    </xf>
    <xf borderId="0" fillId="0" fontId="2" numFmtId="0" xfId="0" applyFont="1"/>
    <xf borderId="0" fillId="0" fontId="0" numFmtId="0" xfId="0" applyAlignment="1" applyFont="1">
      <alignment readingOrder="0"/>
    </xf>
    <xf borderId="0" fillId="0" fontId="7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2" fontId="2" numFmtId="0" xfId="0" applyAlignment="1" applyFill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1" numFmtId="0" xfId="0" applyAlignment="1" applyFill="1" applyFont="1">
      <alignment readingOrder="0"/>
    </xf>
    <xf borderId="0" fillId="0" fontId="7" numFmtId="0" xfId="0" applyAlignment="1" applyFont="1">
      <alignment vertical="bottom"/>
    </xf>
    <xf borderId="0" fillId="0" fontId="7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ill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696085961"/>
        <c:axId val="325799254"/>
      </c:areaChart>
      <c:catAx>
        <c:axId val="6960859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25799254"/>
      </c:catAx>
      <c:valAx>
        <c:axId val="3257992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9608596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807527707"/>
        <c:axId val="879737398"/>
      </c:barChart>
      <c:catAx>
        <c:axId val="18075277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79737398"/>
      </c:catAx>
      <c:valAx>
        <c:axId val="87973739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07527707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603777921"/>
        <c:axId val="2040490378"/>
      </c:barChart>
      <c:catAx>
        <c:axId val="60377792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0490378"/>
      </c:catAx>
      <c:valAx>
        <c:axId val="20404903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0377792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345427632"/>
        <c:axId val="1015891724"/>
      </c:lineChart>
      <c:catAx>
        <c:axId val="3454276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15891724"/>
      </c:catAx>
      <c:valAx>
        <c:axId val="1015891724"/>
        <c:scaling>
          <c:orientation val="minMax"/>
          <c:max val="6000.0"/>
          <c:min val="2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4542763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644073207"/>
        <c:axId val="1128334706"/>
      </c:lineChart>
      <c:catAx>
        <c:axId val="6440732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28334706"/>
      </c:catAx>
      <c:valAx>
        <c:axId val="112833470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4407320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147041887"/>
        <c:axId val="927412487"/>
      </c:barChart>
      <c:catAx>
        <c:axId val="11470418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27412487"/>
      </c:catAx>
      <c:valAx>
        <c:axId val="92741248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4704188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2</v>
      </c>
      <c r="C1" s="1" t="s">
        <v>3</v>
      </c>
    </row>
    <row r="2">
      <c r="A2" s="2" t="s">
        <v>1</v>
      </c>
    </row>
    <row r="3">
      <c r="A3" s="4">
        <v>45367.0</v>
      </c>
      <c r="B3" s="1">
        <v>0.0</v>
      </c>
    </row>
    <row r="4">
      <c r="A4" s="4">
        <v>45374.0</v>
      </c>
      <c r="B4" s="1">
        <v>22.0</v>
      </c>
    </row>
    <row r="5">
      <c r="A5" s="4">
        <v>45375.0</v>
      </c>
      <c r="B5" s="1">
        <v>24.0</v>
      </c>
    </row>
    <row r="6">
      <c r="A6" s="4">
        <v>45376.0</v>
      </c>
      <c r="B6" s="1">
        <v>24.0</v>
      </c>
    </row>
    <row r="7">
      <c r="A7" s="4">
        <v>45377.0</v>
      </c>
      <c r="B7" s="1">
        <v>24.0</v>
      </c>
    </row>
    <row r="8">
      <c r="A8" s="4">
        <v>45378.0</v>
      </c>
      <c r="B8" s="1">
        <v>24.0</v>
      </c>
    </row>
    <row r="9">
      <c r="A9" s="4">
        <v>45379.0</v>
      </c>
      <c r="B9" s="1">
        <v>24.0</v>
      </c>
    </row>
    <row r="10">
      <c r="A10" s="4">
        <v>45380.0</v>
      </c>
      <c r="B10" s="1">
        <v>24.0</v>
      </c>
    </row>
    <row r="11">
      <c r="A11" s="4">
        <v>45381.0</v>
      </c>
      <c r="B11" s="1">
        <v>29.0</v>
      </c>
    </row>
    <row r="12">
      <c r="A12" s="4">
        <v>45382.0</v>
      </c>
      <c r="B12" s="1">
        <v>33.0</v>
      </c>
    </row>
    <row r="13">
      <c r="A13" s="4">
        <v>45383.0</v>
      </c>
      <c r="B13" s="1">
        <v>45.0</v>
      </c>
    </row>
    <row r="14">
      <c r="A14" s="4">
        <v>45384.0</v>
      </c>
      <c r="B14" s="1">
        <v>54.0</v>
      </c>
    </row>
    <row r="15">
      <c r="A15" s="4">
        <v>45385.0</v>
      </c>
      <c r="B15" s="1">
        <v>61.0</v>
      </c>
    </row>
    <row r="16">
      <c r="A16" s="4">
        <v>45386.0</v>
      </c>
      <c r="B16" s="1">
        <v>65.0</v>
      </c>
    </row>
    <row r="17">
      <c r="A17" s="4">
        <v>45387.0</v>
      </c>
      <c r="B17" s="1">
        <v>66.0</v>
      </c>
    </row>
    <row r="18">
      <c r="A18" s="4">
        <v>45388.0</v>
      </c>
      <c r="B18" s="1">
        <v>74.0</v>
      </c>
    </row>
    <row r="19">
      <c r="A19" s="4">
        <v>45389.0</v>
      </c>
      <c r="B19" s="1">
        <v>81.0</v>
      </c>
    </row>
    <row r="20">
      <c r="A20" s="4">
        <v>45390.0</v>
      </c>
      <c r="B20" s="1">
        <v>84.0</v>
      </c>
    </row>
    <row r="21">
      <c r="A21" s="4">
        <v>45391.0</v>
      </c>
      <c r="B21" s="1">
        <v>92.0</v>
      </c>
    </row>
    <row r="22">
      <c r="A22" s="4">
        <v>45392.0</v>
      </c>
      <c r="B22" s="1">
        <v>101.0</v>
      </c>
    </row>
    <row r="23">
      <c r="A23" s="4">
        <v>45393.0</v>
      </c>
      <c r="B23" s="1">
        <v>104.0</v>
      </c>
    </row>
    <row r="24">
      <c r="A24" s="4">
        <v>45394.0</v>
      </c>
      <c r="B24" s="1">
        <v>116.0</v>
      </c>
    </row>
    <row r="25">
      <c r="A25" s="4">
        <v>45395.0</v>
      </c>
      <c r="B25" s="1">
        <v>122.0</v>
      </c>
    </row>
    <row r="26">
      <c r="A26" s="4">
        <v>45396.0</v>
      </c>
      <c r="B26" s="1">
        <v>129.0</v>
      </c>
    </row>
    <row r="27">
      <c r="A27" s="4">
        <v>45397.0</v>
      </c>
      <c r="B27" s="1">
        <v>132.0</v>
      </c>
    </row>
    <row r="28">
      <c r="A28" s="4">
        <v>45398.0</v>
      </c>
      <c r="B28" s="1">
        <v>137.0</v>
      </c>
    </row>
    <row r="29">
      <c r="A29" s="4">
        <v>45399.0</v>
      </c>
      <c r="B29" s="1">
        <v>163.0</v>
      </c>
    </row>
    <row r="30">
      <c r="A30" s="4">
        <v>45400.0</v>
      </c>
      <c r="B30" s="1">
        <v>175.0</v>
      </c>
    </row>
    <row r="31">
      <c r="A31" s="4">
        <v>45401.0</v>
      </c>
      <c r="B31" s="1">
        <v>202.0</v>
      </c>
      <c r="C31" s="1">
        <v>202.0</v>
      </c>
    </row>
    <row r="32">
      <c r="A32" s="4">
        <v>45402.0</v>
      </c>
      <c r="B32" s="1">
        <v>219.0</v>
      </c>
    </row>
    <row r="33">
      <c r="A33" s="4">
        <v>45404.0</v>
      </c>
      <c r="B33" s="1">
        <v>270.0</v>
      </c>
    </row>
    <row r="34">
      <c r="A34" s="4">
        <v>45405.0</v>
      </c>
      <c r="B34" s="1">
        <v>319.0</v>
      </c>
    </row>
    <row r="35">
      <c r="A35" s="4">
        <v>45406.0</v>
      </c>
      <c r="B35" s="1">
        <v>342.0</v>
      </c>
    </row>
    <row r="36">
      <c r="A36" s="4">
        <v>45407.0</v>
      </c>
      <c r="B36" s="1">
        <v>364.0</v>
      </c>
    </row>
    <row r="37">
      <c r="A37" s="4">
        <v>45408.0</v>
      </c>
      <c r="B37" s="1">
        <v>379.0</v>
      </c>
      <c r="C37" s="1">
        <v>379.0</v>
      </c>
    </row>
    <row r="38">
      <c r="A38" s="4">
        <v>45409.0</v>
      </c>
      <c r="B38" s="1">
        <v>393.0</v>
      </c>
    </row>
    <row r="39">
      <c r="A39" s="4">
        <v>45410.0</v>
      </c>
      <c r="B39" s="1">
        <v>435.0</v>
      </c>
    </row>
    <row r="40">
      <c r="A40" s="4">
        <v>45411.0</v>
      </c>
      <c r="B40" s="1">
        <v>458.0</v>
      </c>
    </row>
    <row r="41">
      <c r="A41" s="4">
        <v>45412.0</v>
      </c>
      <c r="B41" s="1">
        <v>489.0</v>
      </c>
    </row>
    <row r="42">
      <c r="A42" s="4">
        <v>45413.0</v>
      </c>
      <c r="B42" s="1">
        <v>512.0</v>
      </c>
    </row>
    <row r="43">
      <c r="A43" s="4">
        <v>45414.0</v>
      </c>
      <c r="B43" s="1">
        <v>583.0</v>
      </c>
    </row>
    <row r="44">
      <c r="A44" s="4">
        <v>45415.0</v>
      </c>
      <c r="B44" s="1">
        <v>610.0</v>
      </c>
      <c r="C44" s="1">
        <v>611.0</v>
      </c>
    </row>
    <row r="45">
      <c r="A45" s="4">
        <v>45416.0</v>
      </c>
      <c r="B45" s="1">
        <v>618.0</v>
      </c>
    </row>
    <row r="46">
      <c r="A46" s="4">
        <v>45417.0</v>
      </c>
      <c r="B46" s="1">
        <v>624.0</v>
      </c>
    </row>
    <row r="47">
      <c r="A47" s="4">
        <v>45418.0</v>
      </c>
      <c r="B47" s="1">
        <v>630.0</v>
      </c>
    </row>
    <row r="48">
      <c r="A48" s="4">
        <v>45419.0</v>
      </c>
      <c r="B48" s="1">
        <v>646.0</v>
      </c>
    </row>
    <row r="49">
      <c r="A49" s="4">
        <v>45420.0</v>
      </c>
      <c r="B49" s="1">
        <v>653.0</v>
      </c>
    </row>
    <row r="50">
      <c r="A50" s="4">
        <v>45421.0</v>
      </c>
      <c r="B50" s="1">
        <v>657.0</v>
      </c>
    </row>
    <row r="51">
      <c r="A51" s="4">
        <v>45422.0</v>
      </c>
      <c r="B51" s="1">
        <v>665.0</v>
      </c>
      <c r="C51" s="1">
        <v>665.0</v>
      </c>
    </row>
    <row r="52">
      <c r="A52" s="4">
        <v>45423.0</v>
      </c>
      <c r="B52" s="1">
        <v>676.0</v>
      </c>
    </row>
    <row r="53">
      <c r="A53" s="4">
        <v>45424.0</v>
      </c>
      <c r="B53" s="1">
        <v>689.0</v>
      </c>
    </row>
    <row r="54">
      <c r="A54" s="4">
        <v>45425.0</v>
      </c>
      <c r="B54" s="1">
        <v>689.0</v>
      </c>
    </row>
    <row r="55">
      <c r="A55" s="4">
        <v>45426.0</v>
      </c>
      <c r="B55" s="10" t="s">
        <v>11</v>
      </c>
    </row>
    <row r="56">
      <c r="A56" s="4">
        <v>45427.0</v>
      </c>
      <c r="B56" s="1">
        <v>699.0</v>
      </c>
    </row>
    <row r="57">
      <c r="A57" s="4">
        <v>45428.0</v>
      </c>
      <c r="B57" s="1">
        <v>710.0</v>
      </c>
    </row>
    <row r="58">
      <c r="A58" s="4">
        <v>45429.0</v>
      </c>
      <c r="B58" s="1">
        <v>718.0</v>
      </c>
      <c r="C58" s="1">
        <v>718.0</v>
      </c>
    </row>
    <row r="59">
      <c r="A59" s="4">
        <v>45430.0</v>
      </c>
      <c r="B59" s="1">
        <v>727.0</v>
      </c>
    </row>
    <row r="60">
      <c r="A60" s="4">
        <v>45431.0</v>
      </c>
      <c r="B60" s="1">
        <v>731.0</v>
      </c>
    </row>
    <row r="61">
      <c r="A61" s="4">
        <v>45432.0</v>
      </c>
      <c r="B61" s="1">
        <v>738.0</v>
      </c>
    </row>
    <row r="62">
      <c r="A62" s="4">
        <v>45433.0</v>
      </c>
      <c r="B62" s="1">
        <v>747.0</v>
      </c>
    </row>
    <row r="63">
      <c r="A63" s="4">
        <v>45434.0</v>
      </c>
      <c r="B63" s="12">
        <v>750.0</v>
      </c>
    </row>
    <row r="64">
      <c r="A64" s="4">
        <v>45435.0</v>
      </c>
      <c r="B64" s="1">
        <v>763.0</v>
      </c>
    </row>
    <row r="65">
      <c r="A65" s="4">
        <v>45436.0</v>
      </c>
      <c r="B65" s="1">
        <v>769.0</v>
      </c>
      <c r="C65" s="1">
        <v>769.0</v>
      </c>
    </row>
    <row r="66">
      <c r="A66" s="4">
        <v>45437.0</v>
      </c>
      <c r="B66" s="1">
        <v>776.0</v>
      </c>
    </row>
    <row r="67">
      <c r="A67" s="4">
        <v>45438.0</v>
      </c>
      <c r="B67" s="1">
        <v>783.0</v>
      </c>
    </row>
    <row r="68">
      <c r="A68" s="4">
        <v>45439.0</v>
      </c>
      <c r="B68" s="1">
        <v>788.0</v>
      </c>
    </row>
    <row r="69">
      <c r="A69" s="4">
        <v>45440.0</v>
      </c>
      <c r="B69" s="1">
        <v>811.0</v>
      </c>
    </row>
    <row r="70">
      <c r="A70" s="4">
        <v>45441.0</v>
      </c>
      <c r="B70" s="1">
        <v>822.0</v>
      </c>
    </row>
    <row r="71">
      <c r="A71" s="4">
        <v>45442.0</v>
      </c>
      <c r="B71" s="1">
        <v>836.0</v>
      </c>
    </row>
    <row r="72">
      <c r="A72" s="4">
        <v>45443.0</v>
      </c>
      <c r="B72" s="1">
        <v>836.0</v>
      </c>
      <c r="C72" s="1">
        <v>836.0</v>
      </c>
    </row>
    <row r="73">
      <c r="A73" s="4">
        <v>45444.0</v>
      </c>
      <c r="B73" s="12">
        <v>875.0</v>
      </c>
    </row>
    <row r="74">
      <c r="A74" s="4">
        <v>45445.0</v>
      </c>
      <c r="B74" s="1">
        <v>890.0</v>
      </c>
    </row>
    <row r="75">
      <c r="A75" s="4">
        <v>45446.0</v>
      </c>
      <c r="B75" s="12">
        <v>892.0</v>
      </c>
    </row>
    <row r="76">
      <c r="A76" s="4">
        <v>45447.0</v>
      </c>
      <c r="B76" s="1">
        <v>901.0</v>
      </c>
    </row>
    <row r="77">
      <c r="A77" s="4">
        <v>45448.0</v>
      </c>
      <c r="B77" s="1">
        <v>912.0</v>
      </c>
    </row>
    <row r="78">
      <c r="A78" s="4">
        <v>45449.0</v>
      </c>
      <c r="B78" s="1">
        <v>921.0</v>
      </c>
    </row>
    <row r="79">
      <c r="A79" s="4">
        <v>45450.0</v>
      </c>
      <c r="B79" s="12">
        <v>923.0</v>
      </c>
      <c r="C79" s="1">
        <v>923.0</v>
      </c>
    </row>
    <row r="80">
      <c r="A80" s="4">
        <v>45451.0</v>
      </c>
      <c r="B80" s="12">
        <v>943.0</v>
      </c>
    </row>
    <row r="81">
      <c r="A81" s="4">
        <v>45452.0</v>
      </c>
      <c r="B81" s="12">
        <v>952.0</v>
      </c>
    </row>
    <row r="82">
      <c r="A82" s="4">
        <v>45453.0</v>
      </c>
      <c r="B82" s="1">
        <v>955.0</v>
      </c>
    </row>
    <row r="83">
      <c r="A83" s="4">
        <v>45454.0</v>
      </c>
      <c r="B83" s="1">
        <v>962.0</v>
      </c>
    </row>
    <row r="84">
      <c r="A84" s="4">
        <v>45455.0</v>
      </c>
      <c r="B84" s="1">
        <v>966.0</v>
      </c>
    </row>
    <row r="85">
      <c r="A85" s="4">
        <v>45456.0</v>
      </c>
      <c r="B85" s="1">
        <v>970.0</v>
      </c>
    </row>
    <row r="86">
      <c r="A86" s="4">
        <v>45457.0</v>
      </c>
      <c r="B86" s="1">
        <v>974.0</v>
      </c>
      <c r="C86" s="1">
        <v>974.0</v>
      </c>
    </row>
    <row r="87">
      <c r="A87" s="4">
        <v>45458.0</v>
      </c>
      <c r="B87" s="1">
        <v>992.0</v>
      </c>
    </row>
    <row r="88">
      <c r="A88" s="4">
        <v>45459.0</v>
      </c>
      <c r="B88" s="1">
        <v>1004.0</v>
      </c>
    </row>
    <row r="89">
      <c r="A89" s="4">
        <v>45460.0</v>
      </c>
      <c r="B89" s="1">
        <v>1026.0</v>
      </c>
    </row>
    <row r="90">
      <c r="A90" s="4">
        <v>45461.0</v>
      </c>
      <c r="B90" s="1">
        <v>1048.0</v>
      </c>
    </row>
    <row r="91">
      <c r="B91" s="14" t="s">
        <v>12</v>
      </c>
    </row>
    <row r="92">
      <c r="B92" s="16" t="s">
        <v>14</v>
      </c>
    </row>
    <row r="93">
      <c r="A93" s="4">
        <v>45464.0</v>
      </c>
      <c r="C93" s="1">
        <v>1091.0</v>
      </c>
    </row>
    <row r="94">
      <c r="A94" s="4">
        <v>45471.0</v>
      </c>
      <c r="C94" s="1">
        <v>1243.0</v>
      </c>
    </row>
    <row r="95">
      <c r="A95" s="4">
        <v>45478.0</v>
      </c>
      <c r="C95" s="1">
        <v>1311.0</v>
      </c>
    </row>
    <row r="96">
      <c r="A96" s="4">
        <v>45485.0</v>
      </c>
      <c r="C96" s="1">
        <v>1411.0</v>
      </c>
    </row>
    <row r="97">
      <c r="A97" s="4">
        <v>45492.0</v>
      </c>
      <c r="C97" s="1">
        <v>1476.0</v>
      </c>
    </row>
    <row r="98">
      <c r="A98" s="4">
        <v>45499.0</v>
      </c>
      <c r="C98" s="13">
        <v>1674.0</v>
      </c>
    </row>
    <row r="99">
      <c r="A99" s="4">
        <v>45506.0</v>
      </c>
      <c r="C99" s="1">
        <v>1803.0</v>
      </c>
    </row>
    <row r="100">
      <c r="A100" s="4">
        <v>45513.0</v>
      </c>
      <c r="C100" s="1">
        <v>1893.0</v>
      </c>
    </row>
    <row r="101">
      <c r="A101" s="4">
        <v>45520.0</v>
      </c>
      <c r="C101" s="1">
        <v>1961.0</v>
      </c>
    </row>
    <row r="102">
      <c r="A102" s="4">
        <v>45527.0</v>
      </c>
      <c r="C102" s="13">
        <v>2067.0</v>
      </c>
    </row>
    <row r="103">
      <c r="A103" s="4">
        <v>45534.0</v>
      </c>
      <c r="C103" s="1">
        <v>2134.0</v>
      </c>
    </row>
    <row r="104">
      <c r="A104" s="4">
        <v>45541.0</v>
      </c>
      <c r="C104" s="13">
        <v>2152.0</v>
      </c>
    </row>
    <row r="105">
      <c r="A105" s="4">
        <v>45548.0</v>
      </c>
      <c r="C105" s="1">
        <v>2228.0</v>
      </c>
    </row>
    <row r="106">
      <c r="A106" s="4">
        <v>45555.0</v>
      </c>
      <c r="C106" s="1">
        <v>2323.0</v>
      </c>
    </row>
    <row r="107">
      <c r="A107" s="4">
        <v>45562.0</v>
      </c>
      <c r="C107" s="13">
        <v>2475.0</v>
      </c>
    </row>
    <row r="108">
      <c r="A108" s="4">
        <v>45569.0</v>
      </c>
      <c r="C108" s="1">
        <v>2565.0</v>
      </c>
    </row>
    <row r="109">
      <c r="A109" s="4">
        <v>45576.0</v>
      </c>
      <c r="C109" s="1">
        <v>2668.0</v>
      </c>
    </row>
    <row r="110">
      <c r="A110" s="4">
        <v>45583.0</v>
      </c>
      <c r="C110" s="1">
        <v>2710.0</v>
      </c>
    </row>
    <row r="111">
      <c r="A111" s="4">
        <v>45590.0</v>
      </c>
      <c r="C111" s="1">
        <v>2824.0</v>
      </c>
    </row>
    <row r="112">
      <c r="A112" s="4">
        <v>45597.0</v>
      </c>
      <c r="C112" s="1">
        <v>2919.0</v>
      </c>
    </row>
    <row r="113">
      <c r="A113" s="4">
        <v>45604.0</v>
      </c>
      <c r="C113" s="1">
        <v>3057.0</v>
      </c>
    </row>
    <row r="114">
      <c r="A114" s="4">
        <v>45611.0</v>
      </c>
      <c r="C114" s="1">
        <v>3233.0</v>
      </c>
    </row>
    <row r="115">
      <c r="A115" s="4">
        <v>45618.0</v>
      </c>
      <c r="C115" s="1">
        <v>3447.0</v>
      </c>
    </row>
    <row r="116">
      <c r="A116" s="4">
        <v>45625.0</v>
      </c>
      <c r="C116" s="1">
        <v>3681.0</v>
      </c>
    </row>
    <row r="117">
      <c r="A117" s="4">
        <v>45632.0</v>
      </c>
      <c r="C117" s="10" t="s">
        <v>19</v>
      </c>
    </row>
    <row r="118">
      <c r="A118" s="4">
        <v>45639.0</v>
      </c>
      <c r="C118" s="1">
        <v>4104.0</v>
      </c>
    </row>
    <row r="119">
      <c r="A119" s="4">
        <v>45646.0</v>
      </c>
      <c r="C119" s="1">
        <v>4270.0</v>
      </c>
    </row>
    <row r="120">
      <c r="A120" s="4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4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5">
        <v>34904.0</v>
      </c>
      <c r="AJ2" s="5">
        <v>35193.0</v>
      </c>
      <c r="AK2" s="5">
        <v>35393.0</v>
      </c>
      <c r="AL2" s="5">
        <v>35644.0</v>
      </c>
      <c r="AM2" s="5">
        <v>35901.0</v>
      </c>
      <c r="AN2" s="5">
        <v>36178.0</v>
      </c>
      <c r="AO2" s="5">
        <v>36589.0</v>
      </c>
      <c r="AP2" s="5">
        <v>37124.0</v>
      </c>
      <c r="AQ2" s="5">
        <v>37667.0</v>
      </c>
      <c r="AR2" s="5">
        <v>38142.0</v>
      </c>
      <c r="AS2" s="5">
        <v>38650.0</v>
      </c>
      <c r="AT2" s="5">
        <v>39158.0</v>
      </c>
      <c r="AU2" s="5">
        <v>39666.0</v>
      </c>
      <c r="AV2" s="5">
        <v>40345.0</v>
      </c>
      <c r="AW2" s="5">
        <v>40916.0</v>
      </c>
      <c r="AX2" s="5">
        <v>41279.0</v>
      </c>
      <c r="AY2" s="5">
        <v>41728.0</v>
      </c>
      <c r="AZ2" s="5">
        <v>42201.0</v>
      </c>
      <c r="BA2" s="5">
        <v>42637.0</v>
      </c>
      <c r="BB2" s="5">
        <v>43058.0</v>
      </c>
      <c r="BC2" s="5">
        <v>43465.0</v>
      </c>
      <c r="BD2" s="5">
        <v>43751.0</v>
      </c>
      <c r="BE2" s="5">
        <v>44153.0</v>
      </c>
      <c r="BF2" s="5">
        <v>44390.0</v>
      </c>
      <c r="BG2" s="5">
        <v>44655.0</v>
      </c>
      <c r="BH2" s="5">
        <v>44963.0</v>
      </c>
      <c r="BI2" s="5">
        <v>45370.0</v>
      </c>
      <c r="BJ2" s="5">
        <v>45779.0</v>
      </c>
      <c r="BK2" s="5">
        <v>46186.0</v>
      </c>
      <c r="BL2" s="5">
        <v>46611.0</v>
      </c>
      <c r="BM2" s="5">
        <v>46926.0</v>
      </c>
      <c r="BN2" s="5">
        <v>47292.0</v>
      </c>
      <c r="BO2" s="5">
        <v>47580.0</v>
      </c>
      <c r="BP2" s="5">
        <v>47958.0</v>
      </c>
      <c r="BQ2" s="5">
        <v>48360.0</v>
      </c>
      <c r="BR2" s="5">
        <v>48756.0</v>
      </c>
      <c r="BS2" s="5">
        <v>49164.0</v>
      </c>
      <c r="BT2" s="5">
        <v>49532.0</v>
      </c>
      <c r="BU2" s="5">
        <v>49899.0</v>
      </c>
      <c r="BV2" s="5">
        <v>50278.0</v>
      </c>
      <c r="BW2" s="5">
        <v>50666.0</v>
      </c>
      <c r="BX2" s="5">
        <v>50970.0</v>
      </c>
      <c r="BY2" s="5">
        <v>51222.0</v>
      </c>
      <c r="BZ2" s="5">
        <v>51486.0</v>
      </c>
      <c r="CA2" s="5">
        <v>51643.0</v>
      </c>
      <c r="CB2" s="6" t="s">
        <v>5</v>
      </c>
      <c r="CC2" s="6">
        <v>51644.0</v>
      </c>
      <c r="CD2" s="6">
        <v>51649.0</v>
      </c>
      <c r="CE2" s="6">
        <v>51779.0</v>
      </c>
    </row>
    <row r="3">
      <c r="A3" s="1" t="s">
        <v>6</v>
      </c>
      <c r="D3" s="7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5">
        <v>18070.0</v>
      </c>
      <c r="AL3" s="1">
        <v>18715.0</v>
      </c>
      <c r="AM3" s="5">
        <v>19332.0</v>
      </c>
      <c r="AN3" s="5">
        <v>19977.0</v>
      </c>
      <c r="AO3" s="5">
        <v>20716.0</v>
      </c>
      <c r="AP3" s="5">
        <v>21473.0</v>
      </c>
      <c r="AQ3" s="5">
        <v>22343.0</v>
      </c>
      <c r="AR3" s="5">
        <v>23196.0</v>
      </c>
      <c r="AS3" s="5">
        <v>24149.0</v>
      </c>
      <c r="AT3" s="5">
        <v>25029.0</v>
      </c>
      <c r="AU3" s="5">
        <v>26279.0</v>
      </c>
      <c r="AV3" s="5">
        <v>26858.0</v>
      </c>
      <c r="AW3" s="5">
        <v>27676.0</v>
      </c>
      <c r="AX3" s="5">
        <v>28372.0</v>
      </c>
      <c r="AY3" s="5">
        <v>28912.0</v>
      </c>
      <c r="AZ3" s="5">
        <v>29525.0</v>
      </c>
      <c r="BA3" s="5">
        <v>30104.0</v>
      </c>
      <c r="BB3" s="5">
        <v>30741.0</v>
      </c>
      <c r="BC3" s="5">
        <v>31340.0</v>
      </c>
      <c r="BD3" s="5">
        <v>31840.0</v>
      </c>
      <c r="BE3" s="5">
        <v>32501.0</v>
      </c>
      <c r="BF3" s="5">
        <v>32871.0</v>
      </c>
      <c r="BG3" s="5">
        <v>33157.0</v>
      </c>
      <c r="BH3" s="5">
        <v>33456.0</v>
      </c>
      <c r="BI3" s="5">
        <v>33746.0</v>
      </c>
      <c r="BJ3" s="5">
        <v>34008.0</v>
      </c>
      <c r="BK3" s="5">
        <v>34322.0</v>
      </c>
      <c r="BL3" s="5">
        <v>34593.0</v>
      </c>
      <c r="BM3" s="5">
        <v>34876.0</v>
      </c>
      <c r="BN3" s="5">
        <v>35119.0</v>
      </c>
      <c r="BO3" s="5">
        <v>35417.0</v>
      </c>
      <c r="BP3" s="5">
        <v>35608.0</v>
      </c>
      <c r="BQ3" s="5">
        <v>35867.0</v>
      </c>
      <c r="BR3" s="5">
        <v>36110.0</v>
      </c>
      <c r="BS3" s="5">
        <v>36377.0</v>
      </c>
      <c r="BT3" s="5">
        <v>36689.0</v>
      </c>
      <c r="BU3" s="5">
        <v>37068.0</v>
      </c>
      <c r="BV3" s="5">
        <v>37326.0</v>
      </c>
      <c r="BW3" s="5">
        <v>37583.0</v>
      </c>
      <c r="BX3" s="5">
        <v>38099.0</v>
      </c>
      <c r="BY3" s="5">
        <v>38581.0</v>
      </c>
      <c r="BZ3" s="5">
        <v>38581.0</v>
      </c>
      <c r="CA3" s="5">
        <v>39409.0</v>
      </c>
      <c r="CB3" s="6" t="s">
        <v>7</v>
      </c>
      <c r="CC3" s="6" t="s">
        <v>7</v>
      </c>
      <c r="CD3" s="6">
        <v>39745.0</v>
      </c>
      <c r="CE3" s="6">
        <v>40670.0</v>
      </c>
    </row>
    <row r="4">
      <c r="D4" s="7"/>
    </row>
    <row r="5">
      <c r="A5" s="1" t="s">
        <v>8</v>
      </c>
      <c r="D5" s="7"/>
    </row>
    <row r="6">
      <c r="A6" s="1" t="s">
        <v>10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5">
        <v>7175.0</v>
      </c>
      <c r="AL6" s="1">
        <v>7178.0</v>
      </c>
      <c r="AM6" s="1">
        <v>7182.0</v>
      </c>
      <c r="AN6" s="5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7"/>
    </row>
    <row r="8">
      <c r="D8" s="7"/>
    </row>
    <row r="9">
      <c r="D9" s="7"/>
    </row>
    <row r="10">
      <c r="D10" s="7"/>
    </row>
    <row r="11">
      <c r="D11" s="7"/>
    </row>
    <row r="12">
      <c r="D12" s="7"/>
    </row>
    <row r="13">
      <c r="D13" s="7"/>
    </row>
    <row r="14">
      <c r="D14" s="7"/>
    </row>
    <row r="15">
      <c r="D15" s="7"/>
    </row>
    <row r="16">
      <c r="D16" s="7"/>
    </row>
    <row r="17">
      <c r="D17" s="7"/>
    </row>
    <row r="18">
      <c r="D18" s="7"/>
    </row>
    <row r="19">
      <c r="D19" s="7"/>
    </row>
    <row r="20">
      <c r="D20" s="7"/>
    </row>
    <row r="21">
      <c r="D21" s="7"/>
    </row>
    <row r="22">
      <c r="D22" s="7"/>
    </row>
    <row r="23">
      <c r="D23" s="7"/>
    </row>
    <row r="24">
      <c r="D24" s="7"/>
    </row>
    <row r="25">
      <c r="D25" s="7"/>
    </row>
    <row r="26">
      <c r="D26" s="7"/>
    </row>
    <row r="27">
      <c r="D27" s="7"/>
    </row>
    <row r="28">
      <c r="D28" s="7"/>
    </row>
    <row r="29">
      <c r="D29" s="7"/>
    </row>
    <row r="30">
      <c r="D30" s="7"/>
    </row>
    <row r="31">
      <c r="D31" s="7"/>
    </row>
    <row r="32">
      <c r="D32" s="7"/>
    </row>
    <row r="33">
      <c r="D33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51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53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10">
        <v>0.0</v>
      </c>
      <c r="BU3" s="10">
        <v>0.0</v>
      </c>
      <c r="BV3" s="10">
        <v>0.0</v>
      </c>
      <c r="BW3" s="10">
        <v>0.0</v>
      </c>
      <c r="BX3" s="10">
        <v>0.0</v>
      </c>
      <c r="BY3" s="10">
        <v>0.0</v>
      </c>
      <c r="BZ3" s="10">
        <v>0.0</v>
      </c>
      <c r="CA3" s="10">
        <v>0.0</v>
      </c>
      <c r="CB3" s="10">
        <v>0.0</v>
      </c>
      <c r="CC3" s="10">
        <v>0.0</v>
      </c>
      <c r="CD3" s="10">
        <v>0.0</v>
      </c>
      <c r="CE3" s="10">
        <v>0.0</v>
      </c>
    </row>
    <row r="4">
      <c r="A4" s="1" t="s">
        <v>55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27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57</v>
      </c>
      <c r="C6" s="27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58</v>
      </c>
      <c r="C7" s="27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10" t="s">
        <v>61</v>
      </c>
      <c r="CC7" s="10" t="s">
        <v>61</v>
      </c>
      <c r="CD7" s="10">
        <v>166.0</v>
      </c>
      <c r="CE7" s="10">
        <v>267.0</v>
      </c>
    </row>
    <row r="8">
      <c r="A8" s="1" t="s">
        <v>62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10" t="s">
        <v>64</v>
      </c>
      <c r="CC8" s="10" t="s">
        <v>64</v>
      </c>
      <c r="CD8" s="10">
        <v>135.0</v>
      </c>
      <c r="CE8" s="10" t="s">
        <v>65</v>
      </c>
    </row>
    <row r="9">
      <c r="A9" s="1" t="s">
        <v>66</v>
      </c>
      <c r="C9" s="27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68</v>
      </c>
      <c r="C10" s="27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71</v>
      </c>
      <c r="C12" s="22">
        <v>1632.0</v>
      </c>
      <c r="D12" s="22">
        <v>1870.0</v>
      </c>
      <c r="E12" s="22">
        <v>2011.0</v>
      </c>
      <c r="F12" s="22">
        <v>2034.0</v>
      </c>
      <c r="G12" s="22">
        <v>2058.0</v>
      </c>
      <c r="H12" s="22">
        <v>2119.0</v>
      </c>
      <c r="I12" s="22">
        <v>2214.0</v>
      </c>
      <c r="J12" s="22">
        <v>2206.0</v>
      </c>
      <c r="K12" s="22">
        <v>2204.0</v>
      </c>
      <c r="L12" s="22">
        <v>2212.0</v>
      </c>
      <c r="M12" s="22">
        <v>2286.0</v>
      </c>
      <c r="N12" s="22">
        <v>2268.0</v>
      </c>
      <c r="O12" s="22">
        <v>2265.0</v>
      </c>
      <c r="P12" s="22">
        <v>2260.0</v>
      </c>
      <c r="Q12" s="22">
        <v>2469.0</v>
      </c>
      <c r="R12" s="22">
        <v>2488.0</v>
      </c>
      <c r="S12" s="22">
        <v>2490.0</v>
      </c>
      <c r="T12" s="22">
        <v>2637.0</v>
      </c>
      <c r="U12" s="22">
        <v>2678.0</v>
      </c>
      <c r="V12" s="22">
        <v>2883.0</v>
      </c>
      <c r="W12" s="22">
        <v>2881.0</v>
      </c>
      <c r="X12" s="22">
        <v>2864.0</v>
      </c>
      <c r="Y12" s="22">
        <v>2827.0</v>
      </c>
      <c r="Z12" s="22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73</v>
      </c>
      <c r="C13" s="22">
        <v>247.0</v>
      </c>
      <c r="D13" s="22">
        <v>300.0</v>
      </c>
      <c r="E13" s="22">
        <v>325.0</v>
      </c>
      <c r="F13" s="22">
        <v>317.0</v>
      </c>
      <c r="G13" s="22">
        <v>340.0</v>
      </c>
      <c r="H13" s="22">
        <v>359.0</v>
      </c>
      <c r="I13" s="22">
        <v>369.0</v>
      </c>
      <c r="J13" s="22">
        <v>375.0</v>
      </c>
      <c r="K13" s="22">
        <v>392.0</v>
      </c>
      <c r="L13" s="22">
        <v>394.0</v>
      </c>
      <c r="M13" s="22">
        <v>399.0</v>
      </c>
      <c r="N13" s="22">
        <v>414.0</v>
      </c>
      <c r="O13" s="22">
        <v>409.0</v>
      </c>
      <c r="P13" s="22">
        <v>411.0</v>
      </c>
      <c r="Q13" s="22">
        <v>416.0</v>
      </c>
      <c r="R13" s="22">
        <v>446.0</v>
      </c>
      <c r="S13" s="22">
        <v>449.0</v>
      </c>
      <c r="T13" s="22">
        <v>443.0</v>
      </c>
      <c r="U13" s="22">
        <v>465.0</v>
      </c>
      <c r="V13" s="22">
        <v>466.0</v>
      </c>
      <c r="W13" s="22">
        <v>474.0</v>
      </c>
      <c r="X13" s="22">
        <v>472.0</v>
      </c>
      <c r="Y13" s="22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74</v>
      </c>
      <c r="C14" s="22">
        <v>2814.0</v>
      </c>
      <c r="D14" s="22">
        <v>2708.0</v>
      </c>
      <c r="E14" s="22">
        <v>2736.0</v>
      </c>
      <c r="F14" s="22">
        <v>2815.0</v>
      </c>
      <c r="G14" s="22">
        <v>2807.0</v>
      </c>
      <c r="H14" s="22">
        <v>2933.0</v>
      </c>
      <c r="I14" s="22">
        <v>3180.0</v>
      </c>
      <c r="J14" s="22">
        <v>3473.0</v>
      </c>
      <c r="K14" s="22">
        <v>3532.0</v>
      </c>
      <c r="L14" s="22">
        <v>3754.0</v>
      </c>
      <c r="M14" s="22">
        <v>3869.0</v>
      </c>
      <c r="N14" s="22">
        <v>3980.0</v>
      </c>
      <c r="O14" s="22">
        <v>4306.0</v>
      </c>
      <c r="P14" s="22">
        <v>4759.0</v>
      </c>
      <c r="Q14" s="22">
        <v>5475.0</v>
      </c>
      <c r="R14" s="22">
        <v>6427.0</v>
      </c>
      <c r="S14" s="22">
        <v>7281.0</v>
      </c>
      <c r="T14" s="22">
        <v>7962.0</v>
      </c>
      <c r="U14" s="22">
        <v>8135.0</v>
      </c>
      <c r="V14" s="22">
        <v>8400.0</v>
      </c>
      <c r="W14" s="22">
        <v>8354.0</v>
      </c>
      <c r="X14" s="22">
        <v>8748.0</v>
      </c>
      <c r="Y14" s="22">
        <v>8787.0</v>
      </c>
      <c r="Z14" s="22">
        <v>8845.0</v>
      </c>
      <c r="AA14" s="22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</row>
    <row r="16">
      <c r="A16" s="1" t="s">
        <v>77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22"/>
    </row>
    <row r="18">
      <c r="A18" s="1" t="s">
        <v>8</v>
      </c>
      <c r="C18" s="22"/>
    </row>
    <row r="19">
      <c r="A19" s="1" t="s">
        <v>80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82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83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85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86</v>
      </c>
      <c r="C23" s="27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22"/>
    </row>
    <row r="25">
      <c r="C25" s="22"/>
    </row>
    <row r="26">
      <c r="C26" s="22"/>
    </row>
    <row r="27">
      <c r="C27" s="22"/>
    </row>
    <row r="28">
      <c r="C28" s="22"/>
    </row>
    <row r="29">
      <c r="C29" s="22"/>
    </row>
    <row r="30">
      <c r="C30" s="22"/>
    </row>
    <row r="31">
      <c r="C31" s="22"/>
    </row>
    <row r="32">
      <c r="C32" s="22"/>
    </row>
    <row r="33">
      <c r="C33" s="22"/>
    </row>
    <row r="34">
      <c r="C34" s="22"/>
    </row>
    <row r="35">
      <c r="C35" s="22"/>
    </row>
    <row r="36">
      <c r="C36" s="22"/>
    </row>
    <row r="37">
      <c r="C37" s="22"/>
    </row>
    <row r="38">
      <c r="C38" s="22"/>
    </row>
    <row r="39">
      <c r="C39" s="22"/>
    </row>
    <row r="40">
      <c r="C40" s="22"/>
    </row>
    <row r="41">
      <c r="C41" s="22"/>
    </row>
    <row r="42">
      <c r="C42" s="22"/>
    </row>
    <row r="43">
      <c r="C43" s="22"/>
    </row>
    <row r="44">
      <c r="C44" s="2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  <c r="BH1" s="3">
        <v>45499.0</v>
      </c>
      <c r="BI1" s="3">
        <v>45506.0</v>
      </c>
      <c r="BJ1" s="3">
        <v>45513.0</v>
      </c>
      <c r="BK1" s="3">
        <v>45520.0</v>
      </c>
      <c r="BL1" s="3">
        <v>45527.0</v>
      </c>
      <c r="BM1" s="3">
        <v>45534.0</v>
      </c>
      <c r="BN1" s="3">
        <v>45541.0</v>
      </c>
      <c r="BO1" s="3">
        <v>45548.0</v>
      </c>
      <c r="BP1" s="3">
        <v>45555.0</v>
      </c>
      <c r="BQ1" s="8">
        <v>45562.0</v>
      </c>
      <c r="BR1" s="8">
        <v>45569.0</v>
      </c>
      <c r="BS1" s="8">
        <v>45576.0</v>
      </c>
      <c r="BT1" s="8">
        <v>45583.0</v>
      </c>
      <c r="BU1" s="8">
        <v>45590.0</v>
      </c>
      <c r="BV1" s="8">
        <v>45597.0</v>
      </c>
      <c r="BW1" s="8">
        <v>45604.0</v>
      </c>
      <c r="BX1" s="8">
        <v>45611.0</v>
      </c>
      <c r="BY1" s="8">
        <v>45618.0</v>
      </c>
      <c r="BZ1" s="8">
        <v>45625.0</v>
      </c>
      <c r="CA1" s="8">
        <v>45632.0</v>
      </c>
      <c r="CB1" s="8">
        <v>45639.0</v>
      </c>
      <c r="CC1" s="8">
        <v>45646.0</v>
      </c>
      <c r="CD1" s="8">
        <v>45660.0</v>
      </c>
    </row>
    <row r="2">
      <c r="A2" s="9" t="s">
        <v>9</v>
      </c>
      <c r="B2" s="1"/>
      <c r="C2" s="1"/>
      <c r="D2" s="11" t="s">
        <v>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5"/>
      <c r="BR2" s="15"/>
      <c r="BS2" s="15"/>
      <c r="BT2" s="15"/>
      <c r="BU2" s="15"/>
      <c r="BV2" s="15"/>
      <c r="BW2" s="15"/>
      <c r="BX2" s="15"/>
      <c r="BY2" s="15"/>
      <c r="BZ2" s="15"/>
      <c r="CA2" s="15"/>
      <c r="CB2" s="15"/>
      <c r="CC2" s="15"/>
      <c r="CD2" s="15"/>
    </row>
    <row r="3">
      <c r="A3" s="9" t="s">
        <v>13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5"/>
      <c r="BR3" s="15"/>
      <c r="BS3" s="15"/>
      <c r="BT3" s="15"/>
      <c r="BU3" s="15"/>
      <c r="BV3" s="15"/>
      <c r="BW3" s="15"/>
      <c r="BX3" s="15"/>
      <c r="BY3" s="15"/>
      <c r="BZ3" s="15"/>
      <c r="CA3" s="15"/>
      <c r="CB3" s="15"/>
      <c r="CC3" s="15"/>
      <c r="CD3" s="15"/>
    </row>
    <row r="4">
      <c r="A4" s="1" t="s">
        <v>15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13">
        <v>10195.0</v>
      </c>
      <c r="AN4" s="13">
        <v>9844.0</v>
      </c>
      <c r="AO4" s="13">
        <v>9337.0</v>
      </c>
      <c r="AP4" s="13">
        <v>8843.0</v>
      </c>
      <c r="AQ4" s="13">
        <v>8416.0</v>
      </c>
      <c r="AR4" s="13">
        <v>8137.0</v>
      </c>
      <c r="AS4" s="13">
        <v>7778.0</v>
      </c>
      <c r="AT4" s="13">
        <v>7361.0</v>
      </c>
      <c r="AU4" s="13">
        <v>7169.0</v>
      </c>
      <c r="AV4" s="13">
        <v>6881.0</v>
      </c>
      <c r="AW4" s="13">
        <v>6440.0</v>
      </c>
      <c r="AX4" s="13">
        <v>6223.0</v>
      </c>
      <c r="AY4" s="13">
        <v>5953.0</v>
      </c>
      <c r="AZ4" s="13">
        <v>5577.0</v>
      </c>
      <c r="BA4" s="13">
        <v>5492.0</v>
      </c>
      <c r="BB4" s="13">
        <v>5362.0</v>
      </c>
      <c r="BC4" s="13">
        <v>4918.0</v>
      </c>
      <c r="BD4" s="13">
        <v>4791.0</v>
      </c>
      <c r="BE4" s="13">
        <v>4443.0</v>
      </c>
      <c r="BF4" s="13">
        <v>4446.0</v>
      </c>
      <c r="BG4" s="13">
        <v>4303.0</v>
      </c>
      <c r="BH4" s="13">
        <v>4063.0</v>
      </c>
      <c r="BI4" s="13">
        <v>3969.0</v>
      </c>
      <c r="BJ4" s="13">
        <v>3919.0</v>
      </c>
      <c r="BK4" s="13">
        <v>3869.0</v>
      </c>
      <c r="BL4" s="13">
        <v>3814.0</v>
      </c>
      <c r="BM4" s="13">
        <v>3743.0</v>
      </c>
      <c r="BN4" s="13">
        <v>3724.0</v>
      </c>
      <c r="BO4" s="13">
        <v>3687.0</v>
      </c>
      <c r="BP4" s="17" t="s">
        <v>16</v>
      </c>
      <c r="BQ4" s="17">
        <v>3528.0</v>
      </c>
      <c r="BR4" s="17">
        <v>3503.0</v>
      </c>
      <c r="BS4" s="17">
        <v>3386.0</v>
      </c>
      <c r="BT4" s="17">
        <v>3241.0</v>
      </c>
      <c r="BU4" s="17">
        <v>3243.0</v>
      </c>
      <c r="BV4" s="17">
        <v>3232.0</v>
      </c>
      <c r="BW4" s="17">
        <v>3002.0</v>
      </c>
      <c r="BX4" s="17">
        <v>2515.0</v>
      </c>
      <c r="BY4" s="17">
        <v>2155.0</v>
      </c>
      <c r="BZ4" s="17">
        <v>1756.0</v>
      </c>
      <c r="CA4" s="17">
        <v>1359.0</v>
      </c>
      <c r="CB4" s="17">
        <v>1102.0</v>
      </c>
      <c r="CC4" s="18">
        <v>1014.0</v>
      </c>
      <c r="CD4" s="19">
        <v>879.0</v>
      </c>
    </row>
    <row r="5">
      <c r="A5" s="1" t="s">
        <v>17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13">
        <v>699.0</v>
      </c>
      <c r="AN5" s="13">
        <v>708.0</v>
      </c>
      <c r="AO5" s="13">
        <v>714.0</v>
      </c>
      <c r="AP5" s="13">
        <v>700.0</v>
      </c>
      <c r="AQ5" s="13">
        <v>708.0</v>
      </c>
      <c r="AR5" s="13">
        <v>704.0</v>
      </c>
      <c r="AS5" s="13">
        <v>671.0</v>
      </c>
      <c r="AT5" s="13">
        <v>654.0</v>
      </c>
      <c r="AU5" s="13">
        <v>642.0</v>
      </c>
      <c r="AV5" s="13">
        <v>638.0</v>
      </c>
      <c r="AW5" s="13">
        <v>608.0</v>
      </c>
      <c r="AX5" s="13">
        <v>588.0</v>
      </c>
      <c r="AY5" s="13">
        <v>569.0</v>
      </c>
      <c r="AZ5" s="13">
        <v>552.0</v>
      </c>
      <c r="BA5" s="13">
        <v>534.0</v>
      </c>
      <c r="BB5" s="13">
        <v>553.0</v>
      </c>
      <c r="BC5" s="13">
        <v>522.0</v>
      </c>
      <c r="BD5" s="13">
        <v>505.0</v>
      </c>
      <c r="BE5" s="13">
        <v>486.0</v>
      </c>
      <c r="BF5" s="13">
        <v>486.0</v>
      </c>
      <c r="BG5" s="13">
        <v>468.0</v>
      </c>
      <c r="BH5" s="13">
        <v>446.0</v>
      </c>
      <c r="BI5" s="13">
        <v>458.0</v>
      </c>
      <c r="BJ5" s="13">
        <v>454.0</v>
      </c>
      <c r="BK5" s="13">
        <v>461.0</v>
      </c>
      <c r="BL5" s="13">
        <v>444.0</v>
      </c>
      <c r="BM5" s="13">
        <v>447.0</v>
      </c>
      <c r="BN5" s="13">
        <v>451.0</v>
      </c>
      <c r="BO5" s="13">
        <v>445.0</v>
      </c>
      <c r="BP5" s="13">
        <v>454.0</v>
      </c>
      <c r="BQ5" s="15">
        <v>455.0</v>
      </c>
      <c r="BR5" s="15">
        <v>451.0</v>
      </c>
      <c r="BS5" s="15">
        <v>446.0</v>
      </c>
      <c r="BT5" s="15">
        <v>404.0</v>
      </c>
      <c r="BU5" s="15">
        <v>404.0</v>
      </c>
      <c r="BV5" s="15">
        <v>419.0</v>
      </c>
      <c r="BW5" s="15">
        <v>387.0</v>
      </c>
      <c r="BX5" s="15">
        <v>320.0</v>
      </c>
      <c r="BY5" s="15">
        <v>277.0</v>
      </c>
      <c r="BZ5" s="15">
        <v>230.0</v>
      </c>
      <c r="CA5" s="15">
        <v>191.0</v>
      </c>
      <c r="CB5" s="15">
        <v>151.0</v>
      </c>
      <c r="CC5" s="18">
        <v>144.0</v>
      </c>
      <c r="CD5" s="19">
        <v>135.0</v>
      </c>
    </row>
    <row r="6">
      <c r="A6" s="1" t="s">
        <v>18</v>
      </c>
      <c r="D6" s="7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13"/>
      <c r="BN6" s="13"/>
      <c r="BO6" s="13"/>
      <c r="BP6" s="13"/>
      <c r="BQ6" s="15"/>
      <c r="BR6" s="15"/>
      <c r="BS6" s="15"/>
      <c r="BT6" s="15"/>
      <c r="BU6" s="15"/>
      <c r="BV6" s="15">
        <v>94.0</v>
      </c>
      <c r="BW6" s="15">
        <v>76.0</v>
      </c>
      <c r="BX6" s="15">
        <v>27.0</v>
      </c>
      <c r="BY6" s="15">
        <v>27.0</v>
      </c>
      <c r="BZ6" s="15">
        <v>19.0</v>
      </c>
      <c r="CA6" s="15">
        <v>17.0</v>
      </c>
      <c r="CB6" s="15">
        <v>16.0</v>
      </c>
      <c r="CC6" s="18">
        <v>17.0</v>
      </c>
      <c r="CD6" s="19">
        <v>48.0</v>
      </c>
    </row>
    <row r="7">
      <c r="A7" s="1" t="s">
        <v>20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13">
        <v>269.0</v>
      </c>
      <c r="AN7" s="13">
        <v>283.0</v>
      </c>
      <c r="AO7" s="13">
        <v>296.0</v>
      </c>
      <c r="AP7" s="13">
        <v>299.0</v>
      </c>
      <c r="AQ7" s="13">
        <v>306.0</v>
      </c>
      <c r="AR7" s="13">
        <v>303.0</v>
      </c>
      <c r="AS7" s="13">
        <v>298.0</v>
      </c>
      <c r="AT7" s="13">
        <v>292.0</v>
      </c>
      <c r="AU7" s="13">
        <v>282.0</v>
      </c>
      <c r="AV7" s="13">
        <v>281.0</v>
      </c>
      <c r="AW7" s="13">
        <v>282.0</v>
      </c>
      <c r="AX7" s="20" t="s">
        <v>21</v>
      </c>
      <c r="AY7" s="13">
        <v>272.0</v>
      </c>
      <c r="AZ7" s="13">
        <v>270.0</v>
      </c>
      <c r="BA7" s="13">
        <v>267.0</v>
      </c>
      <c r="BB7" s="13">
        <v>298.0</v>
      </c>
      <c r="BC7" s="13">
        <v>262.0</v>
      </c>
      <c r="BD7" s="13">
        <v>272.0</v>
      </c>
      <c r="BE7" s="13">
        <v>254.0</v>
      </c>
      <c r="BF7" s="13">
        <v>267.0</v>
      </c>
      <c r="BG7" s="13">
        <v>256.0</v>
      </c>
      <c r="BH7" s="13">
        <v>248.0</v>
      </c>
      <c r="BI7" s="13">
        <v>260.0</v>
      </c>
      <c r="BJ7" s="13">
        <v>248.0</v>
      </c>
      <c r="BK7" s="13">
        <v>249.0</v>
      </c>
      <c r="BL7" s="13">
        <v>241.0</v>
      </c>
      <c r="BM7" s="13">
        <v>232.0</v>
      </c>
      <c r="BN7" s="13">
        <v>229.0</v>
      </c>
      <c r="BO7" s="13">
        <v>221.0</v>
      </c>
      <c r="BP7" s="13">
        <v>224.0</v>
      </c>
      <c r="BQ7" s="15">
        <v>222.0</v>
      </c>
      <c r="BR7" s="15">
        <v>221.0</v>
      </c>
      <c r="BS7" s="15">
        <v>217.0</v>
      </c>
      <c r="BT7" s="15">
        <v>201.0</v>
      </c>
      <c r="BU7" s="15">
        <v>196.0</v>
      </c>
      <c r="BV7" s="15">
        <v>191.0</v>
      </c>
      <c r="BW7" s="15">
        <v>167.0</v>
      </c>
      <c r="BX7" s="15">
        <v>147.0</v>
      </c>
      <c r="BY7" s="15">
        <v>116.0</v>
      </c>
      <c r="BZ7" s="15">
        <v>87.0</v>
      </c>
      <c r="CA7" s="15">
        <v>62.0</v>
      </c>
      <c r="CB7" s="15">
        <v>45.0</v>
      </c>
      <c r="CC7" s="18">
        <v>44.0</v>
      </c>
      <c r="CD7" s="19">
        <v>39.0</v>
      </c>
    </row>
    <row r="8">
      <c r="A8" s="1" t="s">
        <v>22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13">
        <v>133.0</v>
      </c>
      <c r="AN8" s="13">
        <v>139.0</v>
      </c>
      <c r="AO8" s="13">
        <v>131.0</v>
      </c>
      <c r="AP8" s="13">
        <v>137.0</v>
      </c>
      <c r="AQ8" s="13">
        <v>132.0</v>
      </c>
      <c r="AR8" s="13">
        <v>110.0</v>
      </c>
      <c r="AS8" s="13">
        <v>120.0</v>
      </c>
      <c r="AT8" s="13">
        <v>121.0</v>
      </c>
      <c r="AU8" s="13">
        <v>116.0</v>
      </c>
      <c r="AV8" s="13">
        <v>105.0</v>
      </c>
      <c r="AW8" s="13">
        <v>103.0</v>
      </c>
      <c r="AX8" s="13">
        <v>101.0</v>
      </c>
      <c r="AY8" s="13">
        <v>96.0</v>
      </c>
      <c r="AZ8" s="13">
        <v>92.0</v>
      </c>
      <c r="BA8" s="13">
        <v>87.0</v>
      </c>
      <c r="BB8" s="13">
        <v>83.0</v>
      </c>
      <c r="BC8" s="13">
        <v>67.0</v>
      </c>
      <c r="BD8" s="13">
        <v>77.0</v>
      </c>
      <c r="BE8" s="13">
        <v>72.0</v>
      </c>
      <c r="BF8" s="13">
        <v>71.0</v>
      </c>
      <c r="BG8" s="13">
        <v>72.0</v>
      </c>
      <c r="BH8" s="13">
        <v>69.0</v>
      </c>
      <c r="BI8" s="13">
        <v>69.0</v>
      </c>
      <c r="BJ8" s="13">
        <v>68.0</v>
      </c>
      <c r="BK8" s="13">
        <v>60.0</v>
      </c>
      <c r="BL8" s="13">
        <v>66.0</v>
      </c>
      <c r="BM8" s="13">
        <v>59.0</v>
      </c>
      <c r="BN8" s="13">
        <v>62.0</v>
      </c>
      <c r="BO8" s="13">
        <v>68.0</v>
      </c>
      <c r="BP8" s="13">
        <v>65.0</v>
      </c>
      <c r="BQ8" s="15">
        <v>56.0</v>
      </c>
      <c r="BR8" s="15">
        <v>56.0</v>
      </c>
      <c r="BS8" s="15">
        <v>53.0</v>
      </c>
      <c r="BT8" s="15">
        <v>57.0</v>
      </c>
      <c r="BU8" s="15">
        <v>51.0</v>
      </c>
      <c r="BV8" s="15">
        <v>57.0</v>
      </c>
      <c r="BW8" s="15">
        <v>55.0</v>
      </c>
      <c r="BX8" s="15">
        <v>43.0</v>
      </c>
      <c r="BY8" s="15">
        <v>35.0</v>
      </c>
      <c r="BZ8" s="15">
        <v>30.0</v>
      </c>
      <c r="CA8" s="15">
        <v>25.0</v>
      </c>
      <c r="CB8" s="15">
        <v>22.0</v>
      </c>
      <c r="CC8" s="18">
        <v>22.0</v>
      </c>
      <c r="CD8" s="19">
        <v>20.0</v>
      </c>
    </row>
    <row r="9">
      <c r="A9" s="1" t="s">
        <v>23</v>
      </c>
      <c r="D9" s="7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13">
        <v>135.0</v>
      </c>
      <c r="AN9" s="13">
        <v>127.0</v>
      </c>
      <c r="AO9" s="13">
        <v>113.0</v>
      </c>
      <c r="AP9" s="13">
        <v>117.0</v>
      </c>
      <c r="AQ9" s="13">
        <v>101.0</v>
      </c>
      <c r="AR9" s="13">
        <v>92.0</v>
      </c>
      <c r="AS9" s="13">
        <v>78.0</v>
      </c>
      <c r="AT9" s="13">
        <v>85.0</v>
      </c>
      <c r="AU9" s="13">
        <v>79.0</v>
      </c>
      <c r="AV9" s="13">
        <v>67.0</v>
      </c>
      <c r="AW9" s="13">
        <v>61.0</v>
      </c>
      <c r="AX9" s="13">
        <v>56.0</v>
      </c>
      <c r="AY9" s="13">
        <v>60.0</v>
      </c>
      <c r="AZ9" s="13">
        <v>54.0</v>
      </c>
      <c r="BA9" s="13">
        <v>46.0</v>
      </c>
      <c r="BB9" s="13">
        <v>49.0</v>
      </c>
      <c r="BC9" s="13">
        <v>40.0</v>
      </c>
      <c r="BD9" s="13">
        <v>50.0</v>
      </c>
      <c r="BE9" s="13">
        <v>45.0</v>
      </c>
      <c r="BF9" s="13">
        <v>58.0</v>
      </c>
      <c r="BG9" s="13">
        <v>60.0</v>
      </c>
      <c r="BH9" s="13">
        <v>57.0</v>
      </c>
      <c r="BI9" s="13">
        <v>60.0</v>
      </c>
      <c r="BJ9" s="13">
        <v>67.0</v>
      </c>
      <c r="BK9" s="13">
        <v>61.0</v>
      </c>
      <c r="BL9" s="13">
        <v>64.0</v>
      </c>
      <c r="BM9" s="13">
        <v>66.0</v>
      </c>
      <c r="BN9" s="13">
        <v>63.0</v>
      </c>
      <c r="BO9" s="13">
        <v>61.0</v>
      </c>
      <c r="BP9" s="13">
        <v>63.0</v>
      </c>
      <c r="BQ9" s="15">
        <v>66.0</v>
      </c>
      <c r="BR9" s="15">
        <v>63.0</v>
      </c>
      <c r="BS9" s="15">
        <v>62.0</v>
      </c>
      <c r="BT9" s="15">
        <v>61.0</v>
      </c>
      <c r="BU9" s="15">
        <v>61.0</v>
      </c>
      <c r="BV9" s="15">
        <v>58.0</v>
      </c>
      <c r="BW9" s="15">
        <v>58.0</v>
      </c>
      <c r="BX9" s="15">
        <v>54.0</v>
      </c>
      <c r="BY9" s="15">
        <v>50.0</v>
      </c>
      <c r="BZ9" s="15">
        <v>48.0</v>
      </c>
      <c r="CA9" s="15">
        <v>41.0</v>
      </c>
      <c r="CB9" s="15">
        <v>33.0</v>
      </c>
      <c r="CC9" s="18">
        <v>28.0</v>
      </c>
      <c r="CD9" s="19">
        <v>18.0</v>
      </c>
    </row>
    <row r="10">
      <c r="A10" s="1" t="s">
        <v>24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13">
        <v>22.0</v>
      </c>
      <c r="AN10" s="13">
        <v>19.0</v>
      </c>
      <c r="AO10" s="13">
        <v>16.0</v>
      </c>
      <c r="AP10" s="13">
        <v>15.0</v>
      </c>
      <c r="AQ10" s="13">
        <v>12.0</v>
      </c>
      <c r="AR10" s="13">
        <v>17.0</v>
      </c>
      <c r="AS10" s="13">
        <v>18.0</v>
      </c>
      <c r="AT10" s="13">
        <v>13.0</v>
      </c>
      <c r="AU10" s="13">
        <v>17.0</v>
      </c>
      <c r="AV10" s="13">
        <v>16.0</v>
      </c>
      <c r="AW10" s="13">
        <v>16.0</v>
      </c>
      <c r="AX10" s="13">
        <v>12.0</v>
      </c>
      <c r="AY10" s="13">
        <v>13.0</v>
      </c>
      <c r="AZ10" s="13">
        <v>11.0</v>
      </c>
      <c r="BA10" s="13"/>
      <c r="BB10" s="13"/>
      <c r="BC10" s="13"/>
      <c r="BD10" s="13">
        <v>14.0</v>
      </c>
      <c r="BE10" s="13">
        <v>11.0</v>
      </c>
      <c r="BF10" s="13">
        <v>17.0</v>
      </c>
      <c r="BG10" s="13">
        <v>24.0</v>
      </c>
      <c r="BH10" s="13">
        <v>24.0</v>
      </c>
      <c r="BI10" s="13">
        <v>24.0</v>
      </c>
      <c r="BJ10" s="13">
        <v>22.0</v>
      </c>
      <c r="BK10" s="13">
        <v>22.0</v>
      </c>
      <c r="BL10" s="13">
        <v>22.0</v>
      </c>
      <c r="BM10" s="13">
        <v>22.0</v>
      </c>
      <c r="BN10" s="13">
        <v>22.0</v>
      </c>
      <c r="BO10" s="13">
        <v>21.0</v>
      </c>
      <c r="BP10" s="13">
        <v>20.0</v>
      </c>
      <c r="BQ10" s="15">
        <v>20.0</v>
      </c>
      <c r="BR10" s="15">
        <v>33.0</v>
      </c>
      <c r="BS10" s="15">
        <v>33.0</v>
      </c>
      <c r="BT10" s="15">
        <v>32.0</v>
      </c>
      <c r="BU10" s="15">
        <v>32.0</v>
      </c>
      <c r="BV10" s="15">
        <v>24.0</v>
      </c>
      <c r="BW10" s="15">
        <v>16.0</v>
      </c>
      <c r="BX10" s="15">
        <v>17.0</v>
      </c>
      <c r="BY10" s="15">
        <v>17.0</v>
      </c>
      <c r="BZ10" s="15">
        <v>17.0</v>
      </c>
      <c r="CA10" s="15">
        <v>17.0</v>
      </c>
      <c r="CB10" s="15">
        <v>14.0</v>
      </c>
      <c r="CC10" s="18">
        <v>14.0</v>
      </c>
      <c r="CD10" s="19">
        <v>14.0</v>
      </c>
    </row>
    <row r="11">
      <c r="A11" s="1" t="s">
        <v>25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13">
        <v>51.0</v>
      </c>
      <c r="AN11" s="13">
        <v>41.0</v>
      </c>
      <c r="AO11" s="13">
        <v>47.0</v>
      </c>
      <c r="AP11" s="13">
        <v>40.0</v>
      </c>
      <c r="AQ11" s="13">
        <v>38.0</v>
      </c>
      <c r="AR11" s="13">
        <v>47.0</v>
      </c>
      <c r="AS11" s="13">
        <v>44.0</v>
      </c>
      <c r="AT11" s="13">
        <v>38.0</v>
      </c>
      <c r="AU11" s="13">
        <v>38.0</v>
      </c>
      <c r="AV11" s="13">
        <v>35.0</v>
      </c>
      <c r="AW11" s="13">
        <v>34.0</v>
      </c>
      <c r="AX11" s="13">
        <v>38.0</v>
      </c>
      <c r="AY11" s="13">
        <v>38.0</v>
      </c>
      <c r="AZ11" s="13">
        <v>36.0</v>
      </c>
      <c r="BA11" s="13">
        <v>26.0</v>
      </c>
      <c r="BB11" s="13">
        <v>30.0</v>
      </c>
      <c r="BC11" s="13">
        <v>16.0</v>
      </c>
      <c r="BD11" s="13">
        <v>26.0</v>
      </c>
      <c r="BE11" s="13">
        <v>23.0</v>
      </c>
      <c r="BF11" s="13">
        <v>22.0</v>
      </c>
      <c r="BG11" s="13">
        <v>29.0</v>
      </c>
      <c r="BH11" s="13">
        <v>26.0</v>
      </c>
      <c r="BI11" s="13">
        <v>26.0</v>
      </c>
      <c r="BJ11" s="13">
        <v>26.0</v>
      </c>
      <c r="BK11" s="13">
        <v>26.0</v>
      </c>
      <c r="BL11" s="13">
        <v>27.0</v>
      </c>
      <c r="BM11" s="13">
        <v>27.0</v>
      </c>
      <c r="BN11" s="13">
        <v>26.0</v>
      </c>
      <c r="BO11" s="13">
        <v>32.0</v>
      </c>
      <c r="BP11" s="13">
        <v>33.0</v>
      </c>
      <c r="BQ11" s="15">
        <v>32.0</v>
      </c>
      <c r="BR11" s="15">
        <v>31.0</v>
      </c>
      <c r="BS11" s="15">
        <v>32.0</v>
      </c>
      <c r="BT11" s="15">
        <v>36.0</v>
      </c>
      <c r="BU11" s="15">
        <v>40.0</v>
      </c>
      <c r="BV11" s="15">
        <v>40.0</v>
      </c>
      <c r="BW11" s="15">
        <v>31.0</v>
      </c>
      <c r="BX11" s="15">
        <v>19.0</v>
      </c>
      <c r="BY11" s="15">
        <v>15.0</v>
      </c>
      <c r="BZ11" s="15">
        <v>15.0</v>
      </c>
      <c r="CA11" s="15">
        <v>11.0</v>
      </c>
      <c r="CB11" s="15"/>
      <c r="CC11" s="18">
        <v>11.0</v>
      </c>
      <c r="CD11" s="19">
        <v>11.0</v>
      </c>
    </row>
    <row r="12">
      <c r="A12" s="1" t="s">
        <v>26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1"/>
      <c r="AB12" s="22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13"/>
      <c r="AN12" s="13">
        <v>10.0</v>
      </c>
      <c r="AO12" s="13">
        <v>10.0</v>
      </c>
      <c r="AP12" s="13">
        <v>10.0</v>
      </c>
      <c r="AQ12" s="13">
        <v>10.0</v>
      </c>
      <c r="AR12" s="13">
        <v>10.0</v>
      </c>
      <c r="AS12" s="13">
        <v>10.0</v>
      </c>
      <c r="AT12" s="13">
        <v>10.0</v>
      </c>
      <c r="AU12" s="13">
        <v>10.0</v>
      </c>
      <c r="AV12" s="13">
        <v>10.0</v>
      </c>
      <c r="AW12" s="13">
        <v>10.0</v>
      </c>
      <c r="AX12" s="13">
        <v>10.0</v>
      </c>
      <c r="AY12" s="13">
        <v>10.0</v>
      </c>
      <c r="AZ12" s="13">
        <v>10.0</v>
      </c>
      <c r="BA12" s="13">
        <v>10.0</v>
      </c>
      <c r="BB12" s="13">
        <v>10.0</v>
      </c>
      <c r="BC12" s="13">
        <v>10.0</v>
      </c>
      <c r="BD12" s="13">
        <v>10.0</v>
      </c>
      <c r="BE12" s="13">
        <v>10.0</v>
      </c>
      <c r="BF12" s="13">
        <v>10.0</v>
      </c>
      <c r="BG12" s="13">
        <v>10.0</v>
      </c>
      <c r="BH12" s="13">
        <v>10.0</v>
      </c>
      <c r="BI12" s="13">
        <v>10.0</v>
      </c>
      <c r="BJ12" s="13">
        <v>10.0</v>
      </c>
      <c r="BK12" s="13">
        <v>10.0</v>
      </c>
      <c r="BL12" s="13">
        <v>10.0</v>
      </c>
      <c r="BM12" s="13">
        <v>10.0</v>
      </c>
      <c r="BN12" s="13">
        <v>10.0</v>
      </c>
      <c r="BO12" s="13">
        <v>10.0</v>
      </c>
      <c r="BP12" s="13">
        <v>10.0</v>
      </c>
      <c r="BQ12" s="15">
        <v>10.0</v>
      </c>
      <c r="BR12" s="15">
        <v>10.0</v>
      </c>
      <c r="BS12" s="15">
        <v>10.0</v>
      </c>
      <c r="BT12" s="15">
        <v>10.0</v>
      </c>
      <c r="BU12" s="15">
        <v>10.0</v>
      </c>
      <c r="BV12" s="15">
        <v>10.0</v>
      </c>
      <c r="BW12" s="15">
        <v>10.0</v>
      </c>
      <c r="BX12" s="15">
        <v>10.0</v>
      </c>
      <c r="BY12" s="15">
        <v>10.0</v>
      </c>
      <c r="BZ12" s="15">
        <v>10.0</v>
      </c>
      <c r="CA12" s="15">
        <v>10.0</v>
      </c>
      <c r="CB12" s="15">
        <v>10.0</v>
      </c>
      <c r="CC12" s="18">
        <v>10.0</v>
      </c>
      <c r="CD12" s="19">
        <v>10.0</v>
      </c>
    </row>
    <row r="13">
      <c r="A13" s="1" t="s">
        <v>28</v>
      </c>
      <c r="D13" s="7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>
        <v>12.0</v>
      </c>
      <c r="BK13" s="13">
        <v>13.0</v>
      </c>
      <c r="BL13" s="13">
        <v>12.0</v>
      </c>
      <c r="BM13" s="13">
        <v>12.0</v>
      </c>
      <c r="BN13" s="13">
        <v>12.0</v>
      </c>
      <c r="BO13" s="13">
        <v>11.0</v>
      </c>
      <c r="BP13" s="13">
        <v>12.0</v>
      </c>
      <c r="BQ13" s="15">
        <v>12.0</v>
      </c>
      <c r="BR13" s="15">
        <v>12.0</v>
      </c>
      <c r="BS13" s="15">
        <v>12.0</v>
      </c>
      <c r="BT13" s="15">
        <v>12.0</v>
      </c>
      <c r="BU13" s="15"/>
      <c r="BV13" s="15"/>
      <c r="BW13" s="15"/>
      <c r="BX13" s="15"/>
      <c r="BY13" s="15"/>
      <c r="BZ13" s="15"/>
      <c r="CA13" s="15"/>
      <c r="CB13" s="15"/>
      <c r="CC13" s="15"/>
      <c r="CD13" s="15"/>
    </row>
    <row r="14">
      <c r="A14" s="1" t="s">
        <v>29</v>
      </c>
      <c r="D14" s="7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13">
        <v>15.0</v>
      </c>
      <c r="AN14" s="13">
        <v>16.0</v>
      </c>
      <c r="AO14" s="13">
        <v>17.0</v>
      </c>
      <c r="AP14" s="13">
        <v>17.0</v>
      </c>
      <c r="AQ14" s="13">
        <v>15.0</v>
      </c>
      <c r="AR14" s="13">
        <v>16.0</v>
      </c>
      <c r="AS14" s="13">
        <v>16.0</v>
      </c>
      <c r="AT14" s="13">
        <v>16.0</v>
      </c>
      <c r="AU14" s="13">
        <v>13.0</v>
      </c>
      <c r="AV14" s="13">
        <v>14.0</v>
      </c>
      <c r="AW14" s="13">
        <v>12.0</v>
      </c>
      <c r="AX14" s="13">
        <v>13.0</v>
      </c>
      <c r="AY14" s="13">
        <v>12.0</v>
      </c>
      <c r="AZ14" s="13">
        <v>12.0</v>
      </c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  <c r="BP14" s="13"/>
      <c r="BQ14" s="15"/>
      <c r="BR14" s="15"/>
      <c r="BS14" s="15"/>
      <c r="BT14" s="15"/>
      <c r="BU14" s="15"/>
      <c r="BV14" s="15"/>
      <c r="BW14" s="15"/>
      <c r="BX14" s="15"/>
      <c r="BY14" s="15"/>
      <c r="BZ14" s="15"/>
      <c r="CA14" s="15"/>
      <c r="CB14" s="15"/>
      <c r="CC14" s="15"/>
      <c r="CD14" s="15"/>
    </row>
    <row r="15">
      <c r="A15" s="1" t="s">
        <v>30</v>
      </c>
      <c r="D15" s="7"/>
      <c r="S15" s="7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13">
        <v>15.0</v>
      </c>
      <c r="AN15" s="13">
        <v>15.0</v>
      </c>
      <c r="AO15" s="13">
        <v>11.0</v>
      </c>
      <c r="AP15" s="13">
        <v>11.0</v>
      </c>
      <c r="AQ15" s="13">
        <v>10.0</v>
      </c>
      <c r="AR15" s="13">
        <v>11.0</v>
      </c>
      <c r="AS15" s="13">
        <v>12.0</v>
      </c>
      <c r="AT15" s="13">
        <v>11.0</v>
      </c>
      <c r="AU15" s="13">
        <v>13.0</v>
      </c>
      <c r="AV15" s="13">
        <v>13.0</v>
      </c>
      <c r="AW15" s="13">
        <v>12.0</v>
      </c>
      <c r="AX15" s="13">
        <v>11.0</v>
      </c>
      <c r="AY15" s="13">
        <v>11.0</v>
      </c>
      <c r="AZ15" s="13">
        <v>13.0</v>
      </c>
      <c r="BA15" s="13">
        <v>12.0</v>
      </c>
      <c r="BB15" s="13">
        <v>12.0</v>
      </c>
      <c r="BC15" s="13"/>
      <c r="BD15" s="13">
        <v>14.0</v>
      </c>
      <c r="BE15" s="13">
        <v>12.0</v>
      </c>
      <c r="BF15" s="13">
        <v>14.0</v>
      </c>
      <c r="BG15" s="13">
        <v>14.0</v>
      </c>
      <c r="BH15" s="13">
        <v>12.0</v>
      </c>
      <c r="BI15" s="13">
        <v>12.0</v>
      </c>
      <c r="BJ15" s="13">
        <v>15.0</v>
      </c>
      <c r="BK15" s="13">
        <v>16.0</v>
      </c>
      <c r="BL15" s="13">
        <v>19.0</v>
      </c>
      <c r="BM15" s="13">
        <v>18.0</v>
      </c>
      <c r="BN15" s="13">
        <v>18.0</v>
      </c>
      <c r="BO15" s="13">
        <v>17.0</v>
      </c>
      <c r="BP15" s="13">
        <v>16.0</v>
      </c>
      <c r="BQ15" s="15">
        <v>16.0</v>
      </c>
      <c r="BR15" s="15">
        <v>18.0</v>
      </c>
      <c r="BS15" s="15">
        <v>18.0</v>
      </c>
      <c r="BT15" s="15">
        <v>19.0</v>
      </c>
      <c r="BU15" s="15">
        <v>19.0</v>
      </c>
      <c r="BV15" s="15">
        <v>19.0</v>
      </c>
      <c r="BW15" s="15">
        <v>16.0</v>
      </c>
      <c r="BX15" s="15">
        <v>15.0</v>
      </c>
      <c r="BY15" s="15">
        <v>13.0</v>
      </c>
      <c r="BZ15" s="15">
        <v>11.0</v>
      </c>
      <c r="CA15" s="15"/>
      <c r="CB15" s="15"/>
      <c r="CC15" s="15"/>
      <c r="CD15" s="15"/>
    </row>
    <row r="16">
      <c r="A16" s="1" t="s">
        <v>31</v>
      </c>
      <c r="B16" s="1">
        <v>10.0</v>
      </c>
      <c r="C16" s="1">
        <v>10.0</v>
      </c>
      <c r="D16" s="7"/>
      <c r="S16" s="7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13">
        <v>12.0</v>
      </c>
      <c r="AN16" s="13">
        <v>10.0</v>
      </c>
      <c r="AO16" s="13">
        <v>12.0</v>
      </c>
      <c r="AP16" s="13">
        <v>13.0</v>
      </c>
      <c r="AQ16" s="13">
        <v>13.0</v>
      </c>
      <c r="AR16" s="13">
        <v>13.0</v>
      </c>
      <c r="AS16" s="13">
        <v>13.0</v>
      </c>
      <c r="AT16" s="13">
        <v>13.0</v>
      </c>
      <c r="AU16" s="13">
        <v>13.0</v>
      </c>
      <c r="AV16" s="13">
        <v>13.0</v>
      </c>
      <c r="AW16" s="13">
        <v>12.0</v>
      </c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5"/>
      <c r="BR16" s="15"/>
      <c r="BS16" s="15"/>
      <c r="BT16" s="15"/>
      <c r="BU16" s="15"/>
      <c r="BV16" s="15"/>
      <c r="BW16" s="15"/>
      <c r="BX16" s="15"/>
      <c r="BY16" s="15"/>
      <c r="BZ16" s="15"/>
      <c r="CA16" s="15"/>
      <c r="CB16" s="15"/>
      <c r="CC16" s="15"/>
      <c r="CD16" s="15"/>
    </row>
    <row r="17">
      <c r="A17" s="1" t="s">
        <v>32</v>
      </c>
      <c r="B17" s="1">
        <v>10.0</v>
      </c>
      <c r="C17" s="1">
        <v>10.0</v>
      </c>
      <c r="D17" s="7"/>
      <c r="S17" s="7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34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7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>
        <v>14.0</v>
      </c>
      <c r="BC18" s="13">
        <v>11.0</v>
      </c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5"/>
      <c r="BR18" s="15"/>
      <c r="BS18" s="15"/>
      <c r="BT18" s="15"/>
      <c r="BU18" s="15"/>
      <c r="BV18" s="15"/>
      <c r="BW18" s="15"/>
      <c r="BX18" s="15"/>
      <c r="BY18" s="15"/>
      <c r="BZ18" s="15"/>
      <c r="CA18" s="15"/>
      <c r="CB18" s="15"/>
      <c r="CC18" s="15"/>
      <c r="CD18" s="15"/>
    </row>
    <row r="19">
      <c r="A19" s="1" t="s">
        <v>36</v>
      </c>
      <c r="D19" s="7"/>
      <c r="Q19" s="1">
        <v>10.0</v>
      </c>
      <c r="R19" s="1">
        <v>10.0</v>
      </c>
      <c r="S19" s="1">
        <v>10.0</v>
      </c>
      <c r="T19" s="27"/>
      <c r="U19" s="21"/>
      <c r="V19" s="28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13">
        <v>22.0</v>
      </c>
      <c r="AN19" s="13">
        <v>20.0</v>
      </c>
      <c r="AO19" s="13">
        <v>20.0</v>
      </c>
      <c r="AP19" s="13">
        <v>20.0</v>
      </c>
      <c r="AQ19" s="13">
        <v>20.0</v>
      </c>
      <c r="AR19" s="13">
        <v>18.0</v>
      </c>
      <c r="AS19" s="13">
        <v>17.0</v>
      </c>
      <c r="AT19" s="13">
        <v>16.0</v>
      </c>
      <c r="AU19" s="13">
        <v>16.0</v>
      </c>
      <c r="AV19" s="13">
        <v>15.0</v>
      </c>
      <c r="AW19" s="13">
        <v>15.0</v>
      </c>
      <c r="AX19" s="13">
        <v>15.0</v>
      </c>
      <c r="AY19" s="13">
        <v>15.0</v>
      </c>
      <c r="AZ19" s="13">
        <v>12.0</v>
      </c>
      <c r="BA19" s="13">
        <v>12.0</v>
      </c>
      <c r="BB19" s="13">
        <v>15.0</v>
      </c>
      <c r="BC19" s="13"/>
      <c r="BD19" s="13">
        <v>15.0</v>
      </c>
      <c r="BE19" s="13">
        <v>15.0</v>
      </c>
      <c r="BF19" s="13">
        <v>14.0</v>
      </c>
      <c r="BG19" s="13">
        <v>19.0</v>
      </c>
      <c r="BH19" s="13">
        <v>16.0</v>
      </c>
      <c r="BI19" s="13">
        <v>15.0</v>
      </c>
      <c r="BJ19" s="13">
        <v>15.0</v>
      </c>
      <c r="BK19" s="13">
        <v>15.0</v>
      </c>
      <c r="BL19" s="13">
        <v>15.0</v>
      </c>
      <c r="BM19" s="13">
        <v>16.0</v>
      </c>
      <c r="BN19" s="13">
        <v>16.0</v>
      </c>
      <c r="BO19" s="13">
        <v>16.0</v>
      </c>
      <c r="BP19" s="13">
        <v>16.0</v>
      </c>
      <c r="BQ19" s="15">
        <v>7.0</v>
      </c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</row>
    <row r="20">
      <c r="A20" s="1" t="s">
        <v>38</v>
      </c>
      <c r="D20" s="7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13">
        <v>16.0</v>
      </c>
      <c r="AN20" s="13">
        <v>16.0</v>
      </c>
      <c r="AO20" s="13">
        <v>16.0</v>
      </c>
      <c r="AP20" s="13">
        <v>16.0</v>
      </c>
      <c r="AQ20" s="13">
        <v>16.0</v>
      </c>
      <c r="AR20" s="13">
        <v>16.0</v>
      </c>
      <c r="AS20" s="13">
        <v>15.0</v>
      </c>
      <c r="AT20" s="13">
        <v>12.0</v>
      </c>
      <c r="AU20" s="13">
        <v>11.0</v>
      </c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5"/>
      <c r="BR20" s="15"/>
      <c r="BS20" s="15"/>
      <c r="BT20" s="15"/>
      <c r="BU20" s="15"/>
      <c r="BV20" s="15"/>
      <c r="BW20" s="15"/>
      <c r="BX20" s="15"/>
      <c r="BY20" s="15"/>
      <c r="BZ20" s="15"/>
      <c r="CA20" s="15"/>
      <c r="CB20" s="15"/>
      <c r="CC20" s="15"/>
      <c r="CD20" s="15"/>
    </row>
    <row r="21">
      <c r="A21" s="1" t="s">
        <v>40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13">
        <v>32.0</v>
      </c>
      <c r="AN21" s="13">
        <v>27.0</v>
      </c>
      <c r="AO21" s="13">
        <v>34.0</v>
      </c>
      <c r="AP21" s="13">
        <v>34.0</v>
      </c>
      <c r="AQ21" s="13">
        <v>32.0</v>
      </c>
      <c r="AR21" s="13">
        <v>30.0</v>
      </c>
      <c r="AS21" s="13">
        <v>24.0</v>
      </c>
      <c r="AT21" s="13">
        <v>24.0</v>
      </c>
      <c r="AU21" s="13">
        <v>18.0</v>
      </c>
      <c r="AV21" s="13">
        <v>16.0</v>
      </c>
      <c r="AW21" s="13">
        <v>20.0</v>
      </c>
      <c r="AX21" s="13">
        <v>21.0</v>
      </c>
      <c r="AY21" s="13">
        <v>17.0</v>
      </c>
      <c r="AZ21" s="13">
        <v>21.0</v>
      </c>
      <c r="BA21" s="13">
        <v>21.0</v>
      </c>
      <c r="BB21" s="13">
        <v>24.0</v>
      </c>
      <c r="BC21" s="13">
        <v>21.0</v>
      </c>
      <c r="BD21" s="13">
        <v>26.0</v>
      </c>
      <c r="BE21" s="13">
        <v>20.0</v>
      </c>
      <c r="BF21" s="13">
        <v>23.0</v>
      </c>
      <c r="BG21" s="13">
        <v>35.0</v>
      </c>
      <c r="BH21" s="13">
        <v>35.0</v>
      </c>
      <c r="BI21" s="13">
        <v>35.0</v>
      </c>
      <c r="BJ21" s="13">
        <v>35.0</v>
      </c>
      <c r="BK21" s="13">
        <v>37.0</v>
      </c>
      <c r="BL21" s="13">
        <v>42.0</v>
      </c>
      <c r="BM21" s="13">
        <v>42.0</v>
      </c>
      <c r="BN21" s="13">
        <v>41.0</v>
      </c>
      <c r="BO21" s="13">
        <v>45.0</v>
      </c>
      <c r="BP21" s="13">
        <v>41.0</v>
      </c>
      <c r="BQ21" s="15">
        <v>38.0</v>
      </c>
      <c r="BR21" s="15">
        <v>36.0</v>
      </c>
      <c r="BS21" s="15">
        <v>36.0</v>
      </c>
      <c r="BT21" s="15">
        <v>26.0</v>
      </c>
      <c r="BU21" s="15">
        <v>31.0</v>
      </c>
      <c r="BV21" s="15">
        <v>20.0</v>
      </c>
      <c r="BW21" s="15">
        <v>20.0</v>
      </c>
      <c r="BX21" s="15">
        <v>11.0</v>
      </c>
      <c r="BY21" s="15"/>
      <c r="BZ21" s="15"/>
      <c r="CA21" s="15">
        <v>10.0</v>
      </c>
      <c r="CB21" s="15"/>
      <c r="CC21" s="15"/>
      <c r="CD21" s="15"/>
    </row>
    <row r="22">
      <c r="A22" s="1" t="s">
        <v>42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5"/>
      <c r="BR22" s="15"/>
      <c r="BS22" s="15"/>
      <c r="BT22" s="15"/>
      <c r="BU22" s="15">
        <v>10.0</v>
      </c>
      <c r="BV22" s="15"/>
      <c r="BW22" s="15"/>
      <c r="BX22" s="15"/>
      <c r="BY22" s="15"/>
      <c r="BZ22" s="15"/>
      <c r="CA22" s="15"/>
      <c r="CB22" s="15"/>
      <c r="CC22" s="15"/>
      <c r="CD22" s="15"/>
    </row>
    <row r="23">
      <c r="A23" s="1" t="s">
        <v>43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13">
        <v>26.0</v>
      </c>
      <c r="AN23" s="13">
        <v>25.0</v>
      </c>
      <c r="AO23" s="13">
        <v>23.0</v>
      </c>
      <c r="AP23" s="13">
        <v>23.0</v>
      </c>
      <c r="AQ23" s="13">
        <v>21.0</v>
      </c>
      <c r="AR23" s="13">
        <v>20.0</v>
      </c>
      <c r="AS23" s="13">
        <v>19.0</v>
      </c>
      <c r="AT23" s="13">
        <v>18.0</v>
      </c>
      <c r="AU23" s="13">
        <v>19.0</v>
      </c>
      <c r="AV23" s="13">
        <v>19.0</v>
      </c>
      <c r="AW23" s="13">
        <v>23.0</v>
      </c>
      <c r="AX23" s="13">
        <v>24.0</v>
      </c>
      <c r="AY23" s="13">
        <v>24.0</v>
      </c>
      <c r="AZ23" s="13">
        <v>20.0</v>
      </c>
      <c r="BA23" s="13">
        <v>19.0</v>
      </c>
      <c r="BB23" s="13">
        <v>24.0</v>
      </c>
      <c r="BC23" s="13">
        <v>14.0</v>
      </c>
      <c r="BD23" s="13">
        <v>25.0</v>
      </c>
      <c r="BE23" s="13">
        <v>23.0</v>
      </c>
      <c r="BF23" s="13">
        <v>24.0</v>
      </c>
      <c r="BG23" s="13">
        <v>25.0</v>
      </c>
      <c r="BH23" s="13">
        <v>23.0</v>
      </c>
      <c r="BI23" s="13">
        <v>24.0</v>
      </c>
      <c r="BJ23" s="13">
        <v>26.0</v>
      </c>
      <c r="BK23" s="13">
        <v>24.0</v>
      </c>
      <c r="BL23" s="13">
        <v>24.0</v>
      </c>
      <c r="BM23" s="13">
        <v>24.0</v>
      </c>
      <c r="BN23" s="13">
        <v>24.0</v>
      </c>
      <c r="BO23" s="13">
        <v>24.0</v>
      </c>
      <c r="BP23" s="13">
        <v>22.0</v>
      </c>
      <c r="BQ23" s="15">
        <v>21.0</v>
      </c>
      <c r="BR23" s="15">
        <v>26.0</v>
      </c>
      <c r="BS23" s="15">
        <v>27.0</v>
      </c>
      <c r="BT23" s="15">
        <v>25.0</v>
      </c>
      <c r="BU23" s="15">
        <v>21.0</v>
      </c>
      <c r="BV23" s="15">
        <v>13.0</v>
      </c>
      <c r="BW23" s="15">
        <v>14.0</v>
      </c>
      <c r="BX23" s="15">
        <v>13.0</v>
      </c>
      <c r="BY23" s="15">
        <v>10.0</v>
      </c>
      <c r="BZ23" s="15"/>
      <c r="CA23" s="15"/>
      <c r="CB23" s="15"/>
      <c r="CC23" s="15"/>
      <c r="CD23" s="15"/>
    </row>
    <row r="24">
      <c r="A24" s="1" t="s">
        <v>44</v>
      </c>
      <c r="B24" s="1">
        <v>11.0</v>
      </c>
      <c r="C24" s="1">
        <v>11.0</v>
      </c>
      <c r="D24" s="7"/>
      <c r="E24" s="7"/>
      <c r="F24" s="7"/>
      <c r="T24" s="29"/>
      <c r="U24" s="21"/>
      <c r="V24" s="28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45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2"/>
      <c r="AI25" s="30"/>
      <c r="AJ25" s="30"/>
      <c r="AK25" s="30"/>
      <c r="AL25" s="30">
        <v>10.0</v>
      </c>
      <c r="AM25" s="19"/>
      <c r="AN25" s="19"/>
      <c r="AO25" s="19"/>
      <c r="AP25" s="19"/>
      <c r="AQ25" s="19"/>
      <c r="AR25" s="19"/>
      <c r="AS25" s="19"/>
      <c r="AT25" s="19">
        <v>10.0</v>
      </c>
      <c r="AU25" s="19">
        <v>10.0</v>
      </c>
      <c r="AV25" s="19">
        <v>10.0</v>
      </c>
      <c r="AW25" s="19">
        <v>10.0</v>
      </c>
      <c r="AX25" s="19"/>
      <c r="AY25" s="19"/>
      <c r="AZ25" s="19"/>
      <c r="BA25" s="19"/>
      <c r="BB25" s="19">
        <v>13.0</v>
      </c>
      <c r="BC25" s="19"/>
      <c r="BD25" s="19"/>
      <c r="BE25" s="19"/>
      <c r="BF25" s="19">
        <v>11.0</v>
      </c>
      <c r="BG25" s="19">
        <v>11.0</v>
      </c>
      <c r="BH25" s="19"/>
      <c r="BI25" s="19">
        <v>13.0</v>
      </c>
      <c r="BJ25" s="19">
        <v>13.0</v>
      </c>
      <c r="BK25" s="19">
        <v>13.0</v>
      </c>
      <c r="BL25" s="19">
        <v>23.0</v>
      </c>
      <c r="BM25" s="19">
        <v>23.0</v>
      </c>
      <c r="BN25" s="19">
        <v>23.0</v>
      </c>
      <c r="BO25" s="19">
        <v>20.0</v>
      </c>
      <c r="BP25" s="19">
        <v>20.0</v>
      </c>
      <c r="BQ25" s="31">
        <v>20.0</v>
      </c>
      <c r="BR25" s="31">
        <v>20.0</v>
      </c>
      <c r="BS25" s="31">
        <v>19.0</v>
      </c>
      <c r="BT25" s="31">
        <v>19.0</v>
      </c>
      <c r="BU25" s="31">
        <v>18.0</v>
      </c>
      <c r="BV25" s="31">
        <v>17.0</v>
      </c>
      <c r="BW25" s="31">
        <v>13.0</v>
      </c>
      <c r="BX25" s="31">
        <v>12.0</v>
      </c>
      <c r="BY25" s="31">
        <v>11.0</v>
      </c>
      <c r="BZ25" s="31">
        <v>11.0</v>
      </c>
      <c r="CA25" s="31"/>
      <c r="CB25" s="31"/>
      <c r="CC25" s="31"/>
      <c r="CD25" s="31"/>
    </row>
    <row r="26">
      <c r="A26" s="1" t="s">
        <v>46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27">
        <v>2215.0</v>
      </c>
      <c r="S26" s="27">
        <v>2215.0</v>
      </c>
      <c r="T26" s="27">
        <v>2216.0</v>
      </c>
      <c r="U26" s="27">
        <v>2325.0</v>
      </c>
      <c r="V26" s="27">
        <v>2432.0</v>
      </c>
      <c r="W26" s="27">
        <v>2569.0</v>
      </c>
      <c r="X26" s="27">
        <v>2490.0</v>
      </c>
      <c r="Y26" s="27">
        <v>2444.0</v>
      </c>
      <c r="Z26" s="27">
        <v>2693.0</v>
      </c>
      <c r="AA26" s="27">
        <v>2819.0</v>
      </c>
      <c r="AB26" s="27">
        <v>3052.0</v>
      </c>
      <c r="AC26" s="27">
        <v>3360.0</v>
      </c>
      <c r="AD26" s="27">
        <v>3603.0</v>
      </c>
      <c r="AE26" s="27">
        <v>3316.0</v>
      </c>
      <c r="AF26" s="27">
        <v>2727.0</v>
      </c>
      <c r="AG26" s="27">
        <v>2568.0</v>
      </c>
      <c r="AH26" s="22">
        <v>2568.0</v>
      </c>
      <c r="AI26" s="30">
        <v>1446.0</v>
      </c>
      <c r="AJ26" s="30">
        <v>1266.0</v>
      </c>
      <c r="AK26" s="30">
        <v>1175.0</v>
      </c>
      <c r="AL26" s="30">
        <v>1175.0</v>
      </c>
      <c r="AM26" s="19">
        <v>930.0</v>
      </c>
      <c r="AN26" s="19">
        <v>922.0</v>
      </c>
      <c r="AO26" s="19">
        <v>956.0</v>
      </c>
      <c r="AP26" s="19">
        <v>927.0</v>
      </c>
      <c r="AQ26" s="19">
        <v>943.0</v>
      </c>
      <c r="AR26" s="19">
        <v>921.0</v>
      </c>
      <c r="AS26" s="19">
        <v>907.0</v>
      </c>
      <c r="AT26" s="19">
        <v>907.0</v>
      </c>
      <c r="AU26" s="19">
        <v>907.0</v>
      </c>
      <c r="AV26" s="19">
        <v>904.0</v>
      </c>
      <c r="AW26" s="19">
        <v>839.0</v>
      </c>
      <c r="AX26" s="19">
        <v>925.0</v>
      </c>
      <c r="AY26" s="19">
        <v>914.0</v>
      </c>
      <c r="AZ26" s="19"/>
      <c r="BA26" s="1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19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</row>
    <row r="27">
      <c r="D27" s="32"/>
      <c r="E27" s="7"/>
      <c r="F27" s="7"/>
      <c r="J27" s="7"/>
      <c r="T27" s="33"/>
      <c r="U27" s="21"/>
      <c r="V27" s="28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</row>
    <row r="28">
      <c r="D28" s="7"/>
      <c r="E28" s="7"/>
      <c r="F28" s="7"/>
      <c r="J28" s="7"/>
      <c r="T28" s="33"/>
      <c r="U28" s="21"/>
      <c r="V28" s="28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</row>
    <row r="29">
      <c r="E29" s="7"/>
      <c r="F29" s="7"/>
      <c r="J29" s="7"/>
      <c r="T29" s="33"/>
      <c r="U29" s="21"/>
      <c r="V29" s="28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  <c r="CD29" s="34"/>
    </row>
    <row r="30">
      <c r="E30" s="7"/>
      <c r="F30" s="7"/>
      <c r="J30" s="7"/>
      <c r="T30" s="7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</row>
    <row r="31">
      <c r="E31" s="7"/>
      <c r="F31" s="7"/>
      <c r="J31" s="7"/>
      <c r="T31" s="7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</row>
    <row r="32">
      <c r="E32" s="7"/>
      <c r="F32" s="7"/>
      <c r="J32" s="7"/>
      <c r="T32" s="7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</row>
    <row r="33">
      <c r="E33" s="7"/>
      <c r="F33" s="7"/>
      <c r="J33" s="7"/>
      <c r="T33" s="7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</row>
    <row r="34">
      <c r="E34" s="7"/>
      <c r="F34" s="7"/>
      <c r="J34" s="7"/>
      <c r="BQ34" s="34"/>
      <c r="BR34" s="34"/>
      <c r="BS34" s="34"/>
      <c r="BT34" s="34"/>
      <c r="BU34" s="34"/>
      <c r="BV34" s="34"/>
      <c r="BW34" s="34"/>
      <c r="BX34" s="34"/>
      <c r="BY34" s="34"/>
      <c r="BZ34" s="34"/>
      <c r="CA34" s="34"/>
      <c r="CB34" s="34"/>
      <c r="CC34" s="34"/>
      <c r="CD34" s="34"/>
    </row>
    <row r="35">
      <c r="E35" s="7"/>
      <c r="F35" s="7"/>
      <c r="J35" s="7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</row>
    <row r="36">
      <c r="E36" s="7"/>
      <c r="F36" s="7"/>
      <c r="J36" s="7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  <c r="CD36" s="34"/>
    </row>
    <row r="37">
      <c r="E37" s="7"/>
      <c r="F37" s="7"/>
      <c r="J37" s="7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</row>
    <row r="38">
      <c r="F38" s="7"/>
      <c r="J38" s="7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</row>
    <row r="39">
      <c r="F39" s="7"/>
      <c r="J39" s="7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  <c r="CD39" s="34"/>
    </row>
    <row r="40">
      <c r="F40" s="7"/>
      <c r="J40" s="7"/>
      <c r="BQ40" s="34"/>
      <c r="BR40" s="34"/>
      <c r="BS40" s="34"/>
      <c r="BT40" s="34"/>
      <c r="BU40" s="34"/>
      <c r="BV40" s="34"/>
      <c r="BW40" s="34"/>
      <c r="BX40" s="34"/>
      <c r="BY40" s="34"/>
      <c r="BZ40" s="34"/>
      <c r="CA40" s="34"/>
      <c r="CB40" s="34"/>
      <c r="CC40" s="34"/>
      <c r="CD40" s="34"/>
    </row>
    <row r="41">
      <c r="F41" s="7"/>
      <c r="J41" s="7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</row>
    <row r="42">
      <c r="F42" s="7"/>
      <c r="J42" s="7"/>
      <c r="BQ42" s="34"/>
      <c r="BR42" s="34"/>
      <c r="BS42" s="34"/>
      <c r="BT42" s="34"/>
      <c r="BU42" s="34"/>
      <c r="BV42" s="34"/>
      <c r="BW42" s="34"/>
      <c r="BX42" s="34"/>
      <c r="BY42" s="34"/>
      <c r="BZ42" s="34"/>
      <c r="CA42" s="34"/>
      <c r="CB42" s="34"/>
      <c r="CC42" s="34"/>
      <c r="CD42" s="34"/>
    </row>
    <row r="43">
      <c r="F43" s="7"/>
      <c r="J43" s="7"/>
      <c r="BQ43" s="34"/>
      <c r="BR43" s="34"/>
      <c r="BS43" s="34"/>
      <c r="BT43" s="34"/>
      <c r="BU43" s="34"/>
      <c r="BV43" s="34"/>
      <c r="BW43" s="34"/>
      <c r="BX43" s="34"/>
      <c r="BY43" s="34"/>
      <c r="BZ43" s="34"/>
      <c r="CA43" s="34"/>
      <c r="CB43" s="34"/>
      <c r="CC43" s="34"/>
      <c r="CD43" s="34"/>
    </row>
    <row r="44">
      <c r="F44" s="7"/>
      <c r="J44" s="7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</row>
    <row r="45">
      <c r="F45" s="7"/>
      <c r="J45" s="7"/>
      <c r="BQ45" s="34"/>
      <c r="BR45" s="34"/>
      <c r="BS45" s="34"/>
      <c r="BT45" s="34"/>
      <c r="BU45" s="34"/>
      <c r="BV45" s="34"/>
      <c r="BW45" s="34"/>
      <c r="BX45" s="34"/>
      <c r="BY45" s="34"/>
      <c r="BZ45" s="34"/>
      <c r="CA45" s="34"/>
      <c r="CB45" s="34"/>
      <c r="CC45" s="34"/>
      <c r="CD45" s="34"/>
    </row>
    <row r="46">
      <c r="F46" s="7"/>
      <c r="J46" s="7"/>
      <c r="BQ46" s="34"/>
      <c r="BR46" s="34"/>
      <c r="BS46" s="34"/>
      <c r="BT46" s="34"/>
      <c r="BU46" s="34"/>
      <c r="BV46" s="34"/>
      <c r="BW46" s="34"/>
      <c r="BX46" s="34"/>
      <c r="BY46" s="34"/>
      <c r="BZ46" s="34"/>
      <c r="CA46" s="34"/>
      <c r="CB46" s="34"/>
      <c r="CC46" s="34"/>
      <c r="CD46" s="34"/>
    </row>
    <row r="47">
      <c r="F47" s="7"/>
      <c r="BQ47" s="34"/>
      <c r="BR47" s="34"/>
      <c r="BS47" s="34"/>
      <c r="BT47" s="34"/>
      <c r="BU47" s="34"/>
      <c r="BV47" s="34"/>
      <c r="BW47" s="34"/>
      <c r="BX47" s="34"/>
      <c r="BY47" s="34"/>
      <c r="BZ47" s="34"/>
      <c r="CA47" s="34"/>
      <c r="CB47" s="34"/>
      <c r="CC47" s="34"/>
      <c r="CD47" s="34"/>
    </row>
    <row r="48">
      <c r="F48" s="7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</row>
    <row r="49">
      <c r="F49" s="7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</row>
    <row r="50">
      <c r="F50" s="7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</row>
    <row r="51">
      <c r="F51" s="7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</row>
    <row r="52">
      <c r="F52" s="7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</row>
    <row r="53">
      <c r="F53" s="7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</row>
    <row r="54">
      <c r="F54" s="7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</row>
    <row r="55">
      <c r="F55" s="7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</row>
    <row r="56">
      <c r="F56" s="7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</row>
    <row r="57">
      <c r="F57" s="7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</row>
    <row r="58"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</row>
    <row r="59"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</row>
    <row r="60"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</row>
    <row r="61"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</row>
    <row r="62"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</row>
    <row r="63"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</row>
    <row r="64"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</row>
    <row r="65"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</row>
    <row r="66"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</row>
    <row r="67"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</row>
    <row r="68"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</row>
    <row r="69"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</row>
    <row r="70"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</row>
    <row r="71"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</row>
    <row r="72"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</row>
    <row r="73"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</row>
    <row r="74"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</row>
    <row r="75"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</row>
    <row r="76"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</row>
    <row r="77"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</row>
    <row r="78"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</row>
    <row r="79"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</row>
    <row r="80"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</row>
    <row r="81"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</row>
    <row r="82"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</row>
    <row r="83"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</row>
    <row r="84"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</row>
    <row r="85"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</row>
    <row r="86"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</row>
    <row r="87"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</row>
    <row r="88"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</row>
    <row r="89"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</row>
    <row r="90"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</row>
    <row r="91"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</row>
    <row r="92"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</row>
    <row r="93"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</row>
    <row r="94"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</row>
    <row r="95"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</row>
    <row r="96"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</row>
    <row r="97"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</row>
    <row r="98"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</row>
    <row r="99"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</row>
    <row r="100"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</row>
    <row r="101"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</row>
    <row r="102"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</row>
    <row r="103"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</row>
    <row r="104"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</row>
    <row r="105"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</row>
    <row r="106"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</row>
    <row r="107"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</row>
    <row r="108"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</row>
    <row r="109"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</row>
    <row r="110"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</row>
    <row r="111"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</row>
    <row r="112"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</row>
    <row r="113"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</row>
    <row r="114"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</row>
    <row r="115"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</row>
    <row r="116"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</row>
    <row r="117"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</row>
    <row r="118"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</row>
    <row r="119"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</row>
    <row r="120"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</row>
    <row r="121"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</row>
    <row r="122"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</row>
    <row r="123"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</row>
    <row r="124"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</row>
    <row r="125"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</row>
    <row r="126"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</row>
    <row r="127"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</row>
    <row r="128"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</row>
    <row r="129"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</row>
    <row r="130"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</row>
    <row r="131"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</row>
    <row r="132"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</row>
    <row r="133"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</row>
    <row r="134"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</row>
    <row r="135"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</row>
    <row r="136"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</row>
    <row r="137"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</row>
    <row r="138"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</row>
    <row r="139"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</row>
    <row r="140"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</row>
    <row r="141"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</row>
    <row r="142"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</row>
    <row r="143"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</row>
    <row r="144"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</row>
    <row r="145"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</row>
    <row r="146"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</row>
    <row r="147"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</row>
    <row r="148"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</row>
    <row r="149"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</row>
    <row r="150"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</row>
    <row r="151"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</row>
    <row r="152"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</row>
    <row r="153"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</row>
    <row r="154"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</row>
    <row r="155"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</row>
    <row r="156"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</row>
    <row r="157"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</row>
    <row r="158"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</row>
    <row r="159"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</row>
    <row r="160"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</row>
    <row r="161"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</row>
    <row r="162"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</row>
    <row r="163"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</row>
    <row r="164"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</row>
    <row r="165"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</row>
    <row r="166"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</row>
    <row r="167"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</row>
    <row r="168"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</row>
    <row r="169"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</row>
    <row r="170"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</row>
    <row r="171"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</row>
    <row r="172"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</row>
    <row r="173"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</row>
    <row r="174"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</row>
    <row r="175"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</row>
    <row r="176"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</row>
    <row r="177"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</row>
    <row r="178"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</row>
    <row r="179"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</row>
    <row r="180"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</row>
    <row r="181"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</row>
    <row r="182"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</row>
    <row r="183"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</row>
    <row r="184"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</row>
    <row r="185"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</row>
    <row r="186"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</row>
    <row r="187"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</row>
    <row r="188"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</row>
    <row r="189"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</row>
    <row r="190"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</row>
    <row r="191"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</row>
    <row r="192"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</row>
    <row r="193"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</row>
    <row r="194"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</row>
    <row r="195"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</row>
    <row r="196"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</row>
    <row r="197"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</row>
    <row r="198"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</row>
    <row r="199"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</row>
    <row r="200"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</row>
    <row r="201"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</row>
    <row r="202"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</row>
    <row r="203"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</row>
    <row r="204"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</row>
    <row r="205"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</row>
    <row r="206"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</row>
    <row r="207"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</row>
    <row r="208"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</row>
    <row r="209"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</row>
    <row r="210"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</row>
    <row r="211"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</row>
    <row r="212"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</row>
    <row r="213"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</row>
    <row r="214"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</row>
    <row r="215"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</row>
    <row r="216"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</row>
    <row r="217"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</row>
    <row r="218"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</row>
    <row r="219"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</row>
    <row r="220"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</row>
    <row r="221"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</row>
    <row r="222"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</row>
    <row r="223"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</row>
    <row r="224"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</row>
    <row r="225"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</row>
    <row r="226"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</row>
    <row r="227"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</row>
    <row r="228"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</row>
    <row r="229"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</row>
    <row r="230"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</row>
    <row r="231"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</row>
    <row r="232"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</row>
    <row r="233"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</row>
    <row r="234"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</row>
    <row r="235"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</row>
    <row r="236"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</row>
    <row r="237"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</row>
    <row r="238"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</row>
    <row r="239"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</row>
    <row r="240"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</row>
    <row r="241"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</row>
    <row r="242"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</row>
    <row r="243"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</row>
    <row r="244"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</row>
    <row r="245"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</row>
    <row r="246"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</row>
    <row r="247"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</row>
    <row r="248"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</row>
    <row r="249"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</row>
    <row r="250"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</row>
    <row r="251"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</row>
    <row r="252"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</row>
    <row r="253"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</row>
    <row r="254"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</row>
    <row r="255"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</row>
    <row r="256"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</row>
    <row r="257"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</row>
    <row r="258"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</row>
    <row r="259"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</row>
    <row r="260"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</row>
    <row r="261"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</row>
    <row r="262"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</row>
    <row r="263"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</row>
    <row r="264"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</row>
    <row r="265"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</row>
    <row r="266"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</row>
    <row r="267"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</row>
    <row r="268"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</row>
    <row r="269"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</row>
    <row r="270"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</row>
    <row r="271"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</row>
    <row r="272"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</row>
    <row r="273"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</row>
    <row r="274"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</row>
    <row r="275"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</row>
    <row r="276"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</row>
    <row r="277"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</row>
    <row r="278"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</row>
    <row r="279"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</row>
    <row r="280"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</row>
    <row r="281"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</row>
    <row r="282"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</row>
    <row r="283"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</row>
    <row r="284"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</row>
    <row r="285"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</row>
    <row r="286"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</row>
    <row r="287"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</row>
    <row r="288"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</row>
    <row r="289"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</row>
    <row r="290"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</row>
    <row r="291"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</row>
    <row r="292"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</row>
    <row r="293"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</row>
    <row r="294"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</row>
    <row r="295"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</row>
    <row r="296"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</row>
    <row r="297"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</row>
    <row r="298"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</row>
    <row r="299"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</row>
    <row r="300"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</row>
    <row r="301"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</row>
    <row r="302"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</row>
    <row r="303"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</row>
    <row r="304"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</row>
    <row r="305"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</row>
    <row r="306"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</row>
    <row r="307"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</row>
    <row r="308"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</row>
    <row r="309"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</row>
    <row r="310"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</row>
    <row r="311"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</row>
    <row r="312"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</row>
    <row r="313"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</row>
    <row r="314"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</row>
    <row r="315"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</row>
    <row r="316"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</row>
    <row r="317"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</row>
    <row r="318"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</row>
    <row r="319"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</row>
    <row r="320"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</row>
    <row r="321"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</row>
    <row r="322"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</row>
    <row r="323"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</row>
    <row r="324"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</row>
    <row r="325"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</row>
    <row r="326"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</row>
    <row r="327"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</row>
    <row r="328"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</row>
    <row r="329"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</row>
    <row r="330"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</row>
    <row r="331"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</row>
    <row r="332"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</row>
    <row r="333"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</row>
    <row r="334"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</row>
    <row r="335"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</row>
    <row r="336"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</row>
    <row r="337"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</row>
    <row r="338"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</row>
    <row r="339"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</row>
    <row r="340"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</row>
    <row r="341"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</row>
    <row r="342"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</row>
    <row r="343"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</row>
    <row r="344"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</row>
    <row r="345"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</row>
    <row r="346"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</row>
    <row r="347"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</row>
    <row r="348"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</row>
    <row r="349"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</row>
    <row r="350"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</row>
    <row r="351"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</row>
    <row r="352"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</row>
    <row r="353"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</row>
    <row r="354"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</row>
    <row r="355"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</row>
    <row r="356"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</row>
    <row r="357"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</row>
    <row r="358"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</row>
    <row r="359"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</row>
    <row r="360"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</row>
    <row r="361"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</row>
    <row r="362"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</row>
    <row r="363"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</row>
    <row r="364"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</row>
    <row r="365"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</row>
    <row r="366"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</row>
    <row r="367"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</row>
    <row r="368"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</row>
    <row r="369"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</row>
    <row r="370"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</row>
    <row r="371"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</row>
    <row r="372"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</row>
    <row r="373"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</row>
    <row r="374"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</row>
    <row r="375"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</row>
    <row r="376"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</row>
    <row r="377"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</row>
    <row r="378"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</row>
    <row r="379"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</row>
    <row r="380"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</row>
    <row r="381"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</row>
    <row r="382"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</row>
    <row r="383"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</row>
    <row r="384"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</row>
    <row r="385"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</row>
    <row r="386"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</row>
    <row r="387"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</row>
    <row r="388"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</row>
    <row r="389"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</row>
    <row r="390"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</row>
    <row r="391"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</row>
    <row r="392"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</row>
    <row r="393"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</row>
    <row r="394"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</row>
    <row r="395"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</row>
    <row r="396"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</row>
    <row r="397"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</row>
    <row r="398"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</row>
    <row r="399"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</row>
    <row r="400"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</row>
    <row r="401"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</row>
    <row r="402"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</row>
    <row r="403"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</row>
    <row r="404"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</row>
    <row r="405"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</row>
    <row r="406"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</row>
    <row r="407"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</row>
    <row r="408"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</row>
    <row r="409"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</row>
    <row r="410"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</row>
    <row r="411"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</row>
    <row r="412"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</row>
    <row r="413"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</row>
    <row r="414"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</row>
    <row r="415"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</row>
    <row r="416"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</row>
    <row r="417"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</row>
    <row r="418"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</row>
    <row r="419"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</row>
    <row r="420"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</row>
    <row r="421"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</row>
    <row r="422"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</row>
    <row r="423"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</row>
    <row r="424"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</row>
    <row r="425"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</row>
    <row r="426"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</row>
    <row r="427"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</row>
    <row r="428"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</row>
    <row r="429"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</row>
    <row r="430"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</row>
    <row r="431"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</row>
    <row r="432"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</row>
    <row r="433"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</row>
    <row r="434"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</row>
    <row r="435"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</row>
    <row r="436"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</row>
    <row r="437"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</row>
    <row r="438"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</row>
    <row r="439"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</row>
    <row r="440"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</row>
    <row r="441"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</row>
    <row r="442"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</row>
    <row r="443"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</row>
    <row r="444"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</row>
    <row r="445"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</row>
    <row r="446"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</row>
    <row r="447"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</row>
    <row r="448"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</row>
    <row r="449"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</row>
    <row r="450"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</row>
    <row r="451"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</row>
    <row r="452"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</row>
    <row r="453"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</row>
    <row r="454"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</row>
    <row r="455"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</row>
    <row r="456"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</row>
    <row r="457"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</row>
    <row r="458"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</row>
    <row r="459"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</row>
    <row r="460"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</row>
    <row r="461"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</row>
    <row r="462"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</row>
    <row r="463"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</row>
    <row r="464"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</row>
    <row r="465"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</row>
    <row r="466"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</row>
    <row r="467"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</row>
    <row r="468"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</row>
    <row r="469"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</row>
    <row r="470"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</row>
    <row r="471"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</row>
    <row r="472"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</row>
    <row r="473"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</row>
    <row r="474"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</row>
    <row r="475"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</row>
    <row r="476"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</row>
    <row r="477"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</row>
    <row r="478"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</row>
    <row r="479"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</row>
    <row r="480"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</row>
    <row r="481"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</row>
    <row r="482"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</row>
    <row r="483"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</row>
    <row r="484"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</row>
    <row r="485"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</row>
    <row r="486"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</row>
    <row r="487"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</row>
    <row r="488"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</row>
    <row r="489"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</row>
    <row r="490"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</row>
    <row r="491"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</row>
    <row r="492"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</row>
    <row r="493"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</row>
    <row r="494"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</row>
    <row r="495"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</row>
    <row r="496"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</row>
    <row r="497"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</row>
    <row r="498"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</row>
    <row r="499"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</row>
    <row r="500"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</row>
    <row r="501"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</row>
    <row r="502"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</row>
    <row r="503"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</row>
    <row r="504"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</row>
    <row r="505"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</row>
    <row r="506"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</row>
    <row r="507"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</row>
    <row r="508"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</row>
    <row r="509"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</row>
    <row r="510"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</row>
    <row r="511"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</row>
    <row r="512"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</row>
    <row r="513"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</row>
    <row r="514"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</row>
    <row r="515"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</row>
    <row r="516"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</row>
    <row r="517"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</row>
    <row r="518"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</row>
    <row r="519"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</row>
    <row r="520"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</row>
    <row r="521"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</row>
    <row r="522"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</row>
    <row r="523"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</row>
    <row r="524"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</row>
    <row r="525"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</row>
    <row r="526"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</row>
    <row r="527"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</row>
    <row r="528"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</row>
    <row r="529"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</row>
    <row r="530"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</row>
    <row r="531"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</row>
    <row r="532"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</row>
    <row r="533"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</row>
    <row r="534"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</row>
    <row r="535"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</row>
    <row r="536"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</row>
    <row r="537"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</row>
    <row r="538"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</row>
    <row r="539"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</row>
    <row r="540"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</row>
    <row r="541"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</row>
    <row r="542"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</row>
    <row r="543"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</row>
    <row r="544"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</row>
    <row r="545"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</row>
    <row r="546"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</row>
    <row r="547"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</row>
    <row r="548"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</row>
    <row r="549"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</row>
    <row r="550"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</row>
    <row r="551"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</row>
    <row r="552"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</row>
    <row r="553"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</row>
    <row r="554"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</row>
    <row r="555"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</row>
    <row r="556"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</row>
    <row r="557"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</row>
    <row r="558"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</row>
    <row r="559"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</row>
    <row r="560"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</row>
    <row r="561"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</row>
    <row r="562"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</row>
    <row r="563"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</row>
    <row r="564"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</row>
    <row r="565"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</row>
    <row r="566"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</row>
    <row r="567"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</row>
    <row r="568"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</row>
    <row r="569"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</row>
    <row r="570"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</row>
    <row r="571"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</row>
    <row r="572"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</row>
    <row r="573"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</row>
    <row r="574"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</row>
    <row r="575"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</row>
    <row r="576"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</row>
    <row r="577"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</row>
    <row r="578"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</row>
    <row r="579"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</row>
    <row r="580"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</row>
    <row r="581"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</row>
    <row r="582"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</row>
    <row r="583"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</row>
    <row r="584"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</row>
    <row r="585"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</row>
    <row r="586"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</row>
    <row r="587"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</row>
    <row r="588"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</row>
    <row r="589"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</row>
    <row r="590"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</row>
    <row r="591"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</row>
    <row r="592"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</row>
    <row r="593"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</row>
    <row r="594"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</row>
    <row r="595"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</row>
    <row r="596"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</row>
    <row r="597"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</row>
    <row r="598"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</row>
    <row r="599"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</row>
    <row r="600"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</row>
    <row r="601"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</row>
    <row r="602"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</row>
    <row r="603"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</row>
    <row r="604"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</row>
    <row r="605"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</row>
    <row r="606"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</row>
    <row r="607"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</row>
    <row r="608"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</row>
    <row r="609"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</row>
    <row r="610"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</row>
    <row r="611"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</row>
    <row r="612"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</row>
    <row r="613"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</row>
    <row r="614"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</row>
    <row r="615"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</row>
    <row r="616"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</row>
    <row r="617"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</row>
    <row r="618"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</row>
    <row r="619"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</row>
    <row r="620"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</row>
    <row r="621"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</row>
    <row r="622"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</row>
    <row r="623"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</row>
    <row r="624"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</row>
    <row r="625"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</row>
    <row r="626"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</row>
    <row r="627"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</row>
    <row r="628"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</row>
    <row r="629"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</row>
    <row r="630"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</row>
    <row r="631"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</row>
    <row r="632"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</row>
    <row r="633"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</row>
    <row r="634"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</row>
    <row r="635"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</row>
    <row r="636"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</row>
    <row r="637"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</row>
    <row r="638"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</row>
    <row r="639"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</row>
    <row r="640"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</row>
    <row r="641"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</row>
    <row r="642"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</row>
    <row r="643"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</row>
    <row r="644"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</row>
    <row r="645"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</row>
    <row r="646"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</row>
    <row r="647"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</row>
    <row r="648"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</row>
    <row r="649"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</row>
    <row r="650"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</row>
    <row r="651"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</row>
    <row r="652"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</row>
    <row r="653"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</row>
    <row r="654"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</row>
    <row r="655"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</row>
    <row r="656"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</row>
    <row r="657"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</row>
    <row r="658"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</row>
    <row r="659"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</row>
    <row r="660"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</row>
    <row r="661"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</row>
    <row r="662"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</row>
    <row r="663"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</row>
    <row r="664"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</row>
    <row r="665"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</row>
    <row r="666"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</row>
    <row r="667"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</row>
    <row r="668"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</row>
    <row r="669"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</row>
    <row r="670"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</row>
    <row r="671"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</row>
    <row r="672"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</row>
    <row r="673"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</row>
    <row r="674"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</row>
    <row r="675"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</row>
    <row r="676"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</row>
    <row r="677"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</row>
    <row r="678"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</row>
    <row r="679"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</row>
    <row r="680"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</row>
    <row r="681"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</row>
    <row r="682"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</row>
    <row r="683"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</row>
    <row r="684"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</row>
    <row r="685"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</row>
    <row r="686"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</row>
    <row r="687"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</row>
    <row r="688"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</row>
    <row r="689"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</row>
    <row r="690"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</row>
    <row r="691"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</row>
    <row r="692"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</row>
    <row r="693"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</row>
    <row r="694"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</row>
    <row r="695"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</row>
    <row r="696"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</row>
    <row r="697"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</row>
    <row r="698"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</row>
    <row r="699"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</row>
    <row r="700"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</row>
    <row r="701"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</row>
    <row r="702"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</row>
    <row r="703"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</row>
    <row r="704"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</row>
    <row r="705"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</row>
    <row r="706"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</row>
    <row r="707"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</row>
    <row r="708"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</row>
    <row r="709"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</row>
    <row r="710"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</row>
    <row r="711"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</row>
    <row r="712"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</row>
    <row r="713"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</row>
    <row r="714"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</row>
    <row r="715"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</row>
    <row r="716"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</row>
    <row r="717"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</row>
    <row r="718"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</row>
    <row r="719"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</row>
    <row r="720"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</row>
    <row r="721"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</row>
    <row r="722"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</row>
    <row r="723"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</row>
    <row r="724"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</row>
    <row r="725"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</row>
    <row r="726"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</row>
    <row r="727"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</row>
    <row r="728"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</row>
    <row r="729"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</row>
    <row r="730"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</row>
    <row r="731"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</row>
    <row r="732"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</row>
    <row r="733"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</row>
    <row r="734"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</row>
    <row r="735"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</row>
    <row r="736"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</row>
    <row r="737"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</row>
    <row r="738"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</row>
    <row r="739"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</row>
    <row r="740"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</row>
    <row r="741"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</row>
    <row r="742"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</row>
    <row r="743"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</row>
    <row r="744"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</row>
    <row r="745"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</row>
    <row r="746"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</row>
    <row r="747"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</row>
    <row r="748"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</row>
    <row r="749"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</row>
    <row r="750"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</row>
    <row r="751"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</row>
    <row r="752"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</row>
    <row r="753"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</row>
    <row r="754"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</row>
    <row r="755"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</row>
    <row r="756"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</row>
    <row r="757"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</row>
    <row r="758"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</row>
    <row r="759"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</row>
    <row r="760"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</row>
    <row r="761"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</row>
    <row r="762"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</row>
    <row r="763"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</row>
    <row r="764"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</row>
    <row r="765"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</row>
    <row r="766"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</row>
    <row r="767"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</row>
    <row r="768"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</row>
    <row r="769"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</row>
    <row r="770"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</row>
    <row r="771"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</row>
    <row r="772"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</row>
    <row r="773"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</row>
    <row r="774"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</row>
    <row r="775"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</row>
    <row r="776"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</row>
    <row r="777"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</row>
    <row r="778"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</row>
    <row r="779"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</row>
    <row r="780"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</row>
    <row r="781"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</row>
    <row r="782"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</row>
    <row r="783"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</row>
    <row r="784"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</row>
    <row r="785"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</row>
    <row r="786"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</row>
    <row r="787"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</row>
    <row r="788"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</row>
    <row r="789"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</row>
    <row r="790"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</row>
    <row r="791"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</row>
    <row r="792"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</row>
    <row r="793"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</row>
    <row r="794"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</row>
    <row r="795"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</row>
    <row r="796"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</row>
    <row r="797"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</row>
    <row r="798"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</row>
    <row r="799"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</row>
    <row r="800"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</row>
    <row r="801"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</row>
    <row r="802"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</row>
    <row r="803"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</row>
    <row r="804"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</row>
    <row r="805"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</row>
    <row r="806"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</row>
    <row r="807"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</row>
    <row r="808"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</row>
    <row r="809"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</row>
    <row r="810"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</row>
    <row r="811"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</row>
    <row r="812"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</row>
    <row r="813"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</row>
    <row r="814"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</row>
    <row r="815"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</row>
    <row r="816"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</row>
    <row r="817"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</row>
    <row r="818"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</row>
    <row r="819"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</row>
    <row r="820"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</row>
    <row r="821"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</row>
    <row r="822"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</row>
    <row r="823"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</row>
    <row r="824"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</row>
    <row r="825"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</row>
    <row r="826"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</row>
    <row r="827"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</row>
    <row r="828"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</row>
    <row r="829"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</row>
    <row r="830"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</row>
    <row r="831"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</row>
    <row r="832"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</row>
    <row r="833"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</row>
    <row r="834"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</row>
    <row r="835"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</row>
    <row r="836"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</row>
    <row r="837"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</row>
    <row r="838"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</row>
    <row r="839"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</row>
    <row r="840"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</row>
    <row r="841"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</row>
    <row r="842"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</row>
    <row r="843"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</row>
    <row r="844"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</row>
    <row r="845"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</row>
    <row r="846"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</row>
    <row r="847"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</row>
    <row r="848"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</row>
    <row r="849"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</row>
    <row r="850"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</row>
    <row r="851"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</row>
    <row r="852"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</row>
    <row r="853"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</row>
    <row r="854"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</row>
    <row r="855"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</row>
    <row r="856"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</row>
    <row r="857"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</row>
    <row r="858"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</row>
    <row r="859"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</row>
    <row r="860"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</row>
    <row r="861"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</row>
    <row r="862"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</row>
    <row r="863"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</row>
    <row r="864"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</row>
    <row r="865"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</row>
    <row r="866"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</row>
    <row r="867"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</row>
    <row r="868"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</row>
    <row r="869"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</row>
    <row r="870"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</row>
    <row r="871"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</row>
    <row r="872"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</row>
    <row r="873"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</row>
    <row r="874"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</row>
    <row r="875"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</row>
    <row r="876"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</row>
    <row r="877"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</row>
    <row r="878"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</row>
    <row r="879"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</row>
    <row r="880"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</row>
    <row r="881"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</row>
    <row r="882"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</row>
    <row r="883"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</row>
    <row r="884"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</row>
    <row r="885"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</row>
    <row r="886"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</row>
    <row r="887"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</row>
    <row r="888"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</row>
    <row r="889"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</row>
    <row r="890"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</row>
    <row r="891"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</row>
    <row r="892"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</row>
    <row r="893"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</row>
    <row r="894"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</row>
    <row r="895"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</row>
    <row r="896"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</row>
    <row r="897"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</row>
    <row r="898"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</row>
    <row r="899"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</row>
    <row r="900"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</row>
    <row r="901"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</row>
    <row r="902"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</row>
    <row r="903"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</row>
    <row r="904"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</row>
    <row r="905"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</row>
    <row r="906"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</row>
    <row r="907"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</row>
    <row r="908"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</row>
    <row r="909"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</row>
    <row r="910"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</row>
    <row r="911"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</row>
    <row r="912"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</row>
    <row r="913"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</row>
    <row r="914"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</row>
    <row r="915"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</row>
    <row r="916"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</row>
    <row r="917"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</row>
    <row r="918"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</row>
    <row r="919"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</row>
    <row r="920"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</row>
    <row r="921"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</row>
    <row r="922"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</row>
    <row r="923"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</row>
    <row r="924"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</row>
    <row r="925"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</row>
    <row r="926"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</row>
    <row r="927"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</row>
    <row r="928"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</row>
    <row r="929"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</row>
    <row r="930"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</row>
    <row r="931"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</row>
    <row r="932"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</row>
    <row r="933"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</row>
    <row r="934"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</row>
    <row r="935"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</row>
    <row r="936"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</row>
    <row r="937"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</row>
    <row r="938"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</row>
    <row r="939"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</row>
    <row r="940"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</row>
    <row r="941"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</row>
    <row r="942"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</row>
    <row r="943"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</row>
    <row r="944"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</row>
    <row r="945"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</row>
    <row r="946"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</row>
    <row r="947"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</row>
    <row r="948"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</row>
    <row r="949"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</row>
    <row r="950"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</row>
    <row r="951"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</row>
    <row r="952"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</row>
    <row r="953"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</row>
    <row r="954"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</row>
    <row r="955"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</row>
    <row r="956"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</row>
    <row r="957"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</row>
    <row r="958"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</row>
    <row r="959"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</row>
    <row r="960"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</row>
    <row r="961"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</row>
    <row r="962"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</row>
    <row r="963"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</row>
    <row r="964"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</row>
    <row r="965"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</row>
    <row r="966"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</row>
    <row r="967"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</row>
    <row r="968"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</row>
    <row r="969"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</row>
    <row r="970"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</row>
    <row r="971"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</row>
    <row r="972"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</row>
    <row r="973"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</row>
    <row r="974"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</row>
    <row r="975"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</row>
    <row r="976"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</row>
    <row r="977"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</row>
    <row r="978"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</row>
    <row r="979"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</row>
    <row r="980"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</row>
    <row r="981"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</row>
    <row r="982"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</row>
    <row r="983"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</row>
    <row r="984"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</row>
    <row r="985"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</row>
    <row r="986"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</row>
    <row r="987"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</row>
    <row r="988"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</row>
    <row r="989"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</row>
    <row r="990"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</row>
    <row r="991"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</row>
    <row r="992"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</row>
    <row r="993"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</row>
    <row r="994"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</row>
    <row r="995"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</row>
    <row r="996"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</row>
    <row r="997"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</row>
    <row r="998"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</row>
    <row r="999"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</row>
    <row r="1000"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</row>
    <row r="1001"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</row>
    <row r="1002"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</row>
    <row r="1003"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</row>
    <row r="1004"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</row>
    <row r="1005"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27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4">
        <v>45317.0</v>
      </c>
      <c r="AJ1" s="4">
        <v>45324.0</v>
      </c>
      <c r="AK1" s="4">
        <v>45331.0</v>
      </c>
      <c r="AL1" s="23">
        <v>45338.0</v>
      </c>
      <c r="AM1" s="23">
        <v>45345.0</v>
      </c>
      <c r="AN1" s="23">
        <v>45352.0</v>
      </c>
      <c r="AO1" s="23">
        <v>45359.0</v>
      </c>
      <c r="AP1" s="23">
        <v>45366.0</v>
      </c>
      <c r="AQ1" s="23">
        <v>45373.0</v>
      </c>
      <c r="AR1" s="23">
        <v>45380.0</v>
      </c>
      <c r="AS1" s="23">
        <v>45387.0</v>
      </c>
      <c r="AT1" s="23">
        <v>45394.0</v>
      </c>
      <c r="AU1" s="23">
        <v>45401.0</v>
      </c>
      <c r="AV1" s="23">
        <v>45408.0</v>
      </c>
      <c r="AW1" s="23">
        <v>45415.0</v>
      </c>
      <c r="AX1" s="23">
        <v>45422.0</v>
      </c>
      <c r="AY1" s="23">
        <v>45429.0</v>
      </c>
      <c r="AZ1" s="23">
        <v>45436.0</v>
      </c>
      <c r="BA1" s="23">
        <v>45443.0</v>
      </c>
      <c r="BB1" s="23">
        <v>45450.0</v>
      </c>
      <c r="BC1" s="23">
        <v>45457.0</v>
      </c>
      <c r="BD1" s="23">
        <v>45464.0</v>
      </c>
      <c r="BE1" s="23">
        <v>45471.0</v>
      </c>
      <c r="BF1" s="23">
        <v>45478.0</v>
      </c>
      <c r="BG1" s="23">
        <v>45485.0</v>
      </c>
      <c r="BH1" s="23">
        <v>45492.0</v>
      </c>
      <c r="BI1" s="23">
        <v>45499.0</v>
      </c>
      <c r="BJ1" s="23">
        <v>45506.0</v>
      </c>
      <c r="BK1" s="23">
        <v>45513.0</v>
      </c>
      <c r="BL1" s="23">
        <v>45520.0</v>
      </c>
      <c r="BM1" s="23">
        <v>45527.0</v>
      </c>
      <c r="BN1" s="23">
        <v>45534.0</v>
      </c>
      <c r="BO1" s="23">
        <v>45541.0</v>
      </c>
      <c r="BP1" s="23">
        <v>45548.0</v>
      </c>
      <c r="BQ1" s="23">
        <v>45555.0</v>
      </c>
      <c r="BR1" s="23">
        <v>45562.0</v>
      </c>
      <c r="BS1" s="23">
        <v>45569.0</v>
      </c>
      <c r="BT1" s="23">
        <v>45576.0</v>
      </c>
      <c r="BU1" s="23">
        <v>45583.0</v>
      </c>
      <c r="BV1" s="23">
        <v>45590.0</v>
      </c>
      <c r="BW1" s="23">
        <v>45597.0</v>
      </c>
      <c r="BX1" s="23">
        <v>45604.0</v>
      </c>
      <c r="BY1" s="23">
        <v>45611.0</v>
      </c>
      <c r="BZ1" s="23">
        <v>45618.0</v>
      </c>
      <c r="CA1" s="23">
        <v>45625.0</v>
      </c>
      <c r="CB1" s="23">
        <v>45632.0</v>
      </c>
      <c r="CC1" s="23">
        <v>45639.0</v>
      </c>
      <c r="CD1" s="23">
        <v>45646.0</v>
      </c>
      <c r="CE1" s="23">
        <v>45660.0</v>
      </c>
    </row>
    <row r="2">
      <c r="A2" s="1" t="s">
        <v>33</v>
      </c>
      <c r="B2" s="7"/>
      <c r="F2" s="7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26">
        <v>16.0</v>
      </c>
      <c r="AM2" s="26">
        <v>0.0</v>
      </c>
      <c r="AN2" s="26">
        <v>6.0</v>
      </c>
      <c r="AO2" s="26">
        <v>3.0</v>
      </c>
      <c r="AP2" s="26">
        <v>40.0</v>
      </c>
      <c r="AQ2" s="26">
        <v>74.0</v>
      </c>
      <c r="AR2" s="26">
        <v>126.0</v>
      </c>
      <c r="AS2" s="26">
        <v>83.0</v>
      </c>
      <c r="AT2" s="26">
        <v>24.0</v>
      </c>
      <c r="AU2" s="26">
        <v>18.0</v>
      </c>
      <c r="AV2" s="26">
        <v>51.0</v>
      </c>
      <c r="AW2" s="26">
        <v>17.0</v>
      </c>
      <c r="AX2" s="26">
        <v>44.0</v>
      </c>
      <c r="AY2" s="26">
        <v>16.0</v>
      </c>
      <c r="AZ2" s="26">
        <v>37.0</v>
      </c>
      <c r="BA2" s="26">
        <v>34.0</v>
      </c>
      <c r="BB2" s="26">
        <v>13.0</v>
      </c>
      <c r="BC2" s="26">
        <v>13.0</v>
      </c>
      <c r="BD2" s="26">
        <v>14.0</v>
      </c>
      <c r="BE2" s="26">
        <v>25.0</v>
      </c>
      <c r="BF2" s="26">
        <v>27.0</v>
      </c>
      <c r="BG2" s="26">
        <v>6.0</v>
      </c>
      <c r="BH2" s="26">
        <v>8.0</v>
      </c>
      <c r="BI2" s="26">
        <v>33.0</v>
      </c>
      <c r="BJ2" s="26">
        <v>30.0</v>
      </c>
      <c r="BK2" s="26">
        <v>8.0</v>
      </c>
      <c r="BL2" s="26">
        <v>5.0</v>
      </c>
      <c r="BM2" s="26">
        <v>7.0</v>
      </c>
      <c r="BN2" s="26">
        <v>12.0</v>
      </c>
      <c r="BO2" s="26">
        <v>12.0</v>
      </c>
      <c r="BP2" s="26">
        <v>21.0</v>
      </c>
      <c r="BQ2" s="26">
        <v>17.0</v>
      </c>
      <c r="BR2" s="26">
        <v>14.0</v>
      </c>
      <c r="BS2" s="26">
        <v>10.0</v>
      </c>
      <c r="BT2" s="26">
        <v>15.0</v>
      </c>
      <c r="BU2" s="26">
        <v>14.0</v>
      </c>
      <c r="BV2" s="26">
        <v>4.0</v>
      </c>
      <c r="BW2" s="26">
        <v>3.0</v>
      </c>
      <c r="BX2" s="26">
        <v>9.0</v>
      </c>
      <c r="BY2" s="26">
        <v>16.0</v>
      </c>
      <c r="BZ2" s="26">
        <v>8.0</v>
      </c>
      <c r="CA2" s="26">
        <v>56.0</v>
      </c>
      <c r="CB2" s="26">
        <v>3.0</v>
      </c>
      <c r="CC2" s="26">
        <v>4.0</v>
      </c>
      <c r="CD2" s="26">
        <v>0.0</v>
      </c>
      <c r="CE2" s="26">
        <v>0.0</v>
      </c>
    </row>
    <row r="3">
      <c r="A3" s="1" t="s">
        <v>35</v>
      </c>
      <c r="B3" s="1">
        <v>11.0</v>
      </c>
      <c r="C3" s="22">
        <v>11.0</v>
      </c>
      <c r="D3" s="22">
        <v>56.0</v>
      </c>
      <c r="E3" s="22">
        <v>0.0</v>
      </c>
      <c r="F3" s="22">
        <v>32.0</v>
      </c>
      <c r="G3" s="22">
        <v>34.0</v>
      </c>
      <c r="H3" s="22">
        <v>95.0</v>
      </c>
      <c r="I3" s="22">
        <v>37.0</v>
      </c>
      <c r="J3" s="22">
        <v>31.0</v>
      </c>
      <c r="K3" s="22">
        <v>100.0</v>
      </c>
      <c r="L3" s="22">
        <v>170.0</v>
      </c>
      <c r="M3" s="22">
        <v>292.0</v>
      </c>
      <c r="N3" s="22">
        <v>418.0</v>
      </c>
      <c r="O3" s="22">
        <v>472.0</v>
      </c>
      <c r="P3" s="22">
        <v>466.0</v>
      </c>
      <c r="Q3" s="22">
        <v>502.0</v>
      </c>
      <c r="R3" s="22">
        <v>483.0</v>
      </c>
      <c r="S3" s="22">
        <v>828.0</v>
      </c>
      <c r="T3" s="22">
        <v>449.0</v>
      </c>
      <c r="U3" s="22">
        <v>660.0</v>
      </c>
      <c r="V3" s="22">
        <v>536.0</v>
      </c>
      <c r="W3" s="22">
        <v>503.0</v>
      </c>
      <c r="X3" s="22">
        <v>580.0</v>
      </c>
      <c r="Y3" s="22">
        <v>575.0</v>
      </c>
      <c r="Z3" s="22">
        <v>276.0</v>
      </c>
      <c r="AA3" s="22">
        <v>155.0</v>
      </c>
      <c r="AB3" s="22">
        <v>176.0</v>
      </c>
      <c r="AC3" s="22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26">
        <v>0.0</v>
      </c>
      <c r="AM3" s="26">
        <v>0.0</v>
      </c>
      <c r="AN3" s="26">
        <v>0.0</v>
      </c>
      <c r="AO3" s="26">
        <v>0.0</v>
      </c>
      <c r="AP3" s="26">
        <v>0.0</v>
      </c>
      <c r="AQ3" s="26">
        <v>0.0</v>
      </c>
      <c r="AR3" s="26">
        <v>4.0</v>
      </c>
      <c r="AS3" s="26">
        <v>0.0</v>
      </c>
      <c r="AT3" s="26">
        <v>6.0</v>
      </c>
      <c r="AU3" s="26">
        <v>3.0</v>
      </c>
      <c r="AV3" s="26">
        <v>14.0</v>
      </c>
      <c r="AW3" s="26">
        <v>7.0</v>
      </c>
      <c r="AX3" s="26">
        <v>2.0</v>
      </c>
      <c r="AY3" s="26">
        <v>1.0</v>
      </c>
      <c r="AZ3" s="26">
        <v>0.0</v>
      </c>
      <c r="BA3" s="26">
        <v>0.0</v>
      </c>
      <c r="BB3" s="26">
        <v>0.0</v>
      </c>
      <c r="BC3" s="26">
        <v>0.0</v>
      </c>
      <c r="BD3" s="26">
        <v>5.0</v>
      </c>
      <c r="BE3" s="26">
        <v>1.0</v>
      </c>
      <c r="BF3" s="26">
        <v>2.0</v>
      </c>
      <c r="BG3" s="26">
        <v>0.0</v>
      </c>
      <c r="BH3" s="26">
        <v>0.0</v>
      </c>
      <c r="BI3" s="26">
        <v>0.0</v>
      </c>
      <c r="BJ3" s="26">
        <v>0.0</v>
      </c>
      <c r="BK3" s="26">
        <v>0.0</v>
      </c>
      <c r="BL3" s="26">
        <v>0.0</v>
      </c>
      <c r="BM3" s="26">
        <v>0.0</v>
      </c>
      <c r="BN3" s="26">
        <v>0.0</v>
      </c>
      <c r="BO3" s="26">
        <v>1.0</v>
      </c>
      <c r="BP3" s="26">
        <v>0.0</v>
      </c>
      <c r="BQ3" s="26">
        <v>0.0</v>
      </c>
      <c r="BR3" s="26">
        <v>5.0</v>
      </c>
      <c r="BS3" s="26">
        <v>0.0</v>
      </c>
      <c r="BT3" s="26">
        <v>0.0</v>
      </c>
      <c r="BU3" s="26">
        <v>1.0</v>
      </c>
      <c r="BV3" s="26">
        <v>0.0</v>
      </c>
      <c r="BW3" s="26">
        <v>3.0</v>
      </c>
      <c r="BX3" s="26">
        <v>0.0</v>
      </c>
      <c r="BY3" s="26">
        <v>0.0</v>
      </c>
      <c r="BZ3" s="26">
        <v>0.0</v>
      </c>
      <c r="CA3" s="26">
        <v>0.0</v>
      </c>
      <c r="CB3" s="26">
        <v>0.0</v>
      </c>
      <c r="CC3" s="26">
        <v>0.0</v>
      </c>
      <c r="CD3" s="26">
        <v>0.0</v>
      </c>
      <c r="CE3" s="26">
        <v>0.0</v>
      </c>
    </row>
    <row r="4">
      <c r="A4" s="1" t="s">
        <v>37</v>
      </c>
      <c r="B4" s="22"/>
      <c r="F4" s="7"/>
      <c r="H4" s="27">
        <v>3.0</v>
      </c>
      <c r="I4" s="27">
        <v>0.0</v>
      </c>
      <c r="J4" s="27">
        <v>0.0</v>
      </c>
      <c r="K4" s="27">
        <v>0.0</v>
      </c>
      <c r="L4" s="27">
        <v>8.0</v>
      </c>
      <c r="M4" s="27">
        <v>0.0</v>
      </c>
      <c r="N4" s="27">
        <v>0.0</v>
      </c>
      <c r="O4" s="27">
        <v>21.0</v>
      </c>
      <c r="P4" s="27">
        <v>0.0</v>
      </c>
      <c r="Q4" s="27">
        <v>8.0</v>
      </c>
      <c r="R4" s="27">
        <v>22.0</v>
      </c>
      <c r="S4" s="27">
        <v>28.0</v>
      </c>
      <c r="T4" s="27">
        <v>3.0</v>
      </c>
      <c r="U4" s="27">
        <v>10.0</v>
      </c>
      <c r="V4" s="27">
        <v>0.0</v>
      </c>
      <c r="W4" s="27">
        <v>1.0</v>
      </c>
      <c r="X4" s="27">
        <v>0.0</v>
      </c>
      <c r="Y4" s="27">
        <v>3.0</v>
      </c>
      <c r="Z4" s="27">
        <v>0.0</v>
      </c>
      <c r="AA4" s="27">
        <v>0.0</v>
      </c>
      <c r="AB4" s="27">
        <v>0.0</v>
      </c>
      <c r="AC4" s="27">
        <v>0.0</v>
      </c>
      <c r="AD4" s="27">
        <v>0.0</v>
      </c>
      <c r="AE4" s="27">
        <v>1.0</v>
      </c>
      <c r="AF4" s="27">
        <v>0.0</v>
      </c>
      <c r="AG4" s="27">
        <v>3.0</v>
      </c>
      <c r="AH4" s="22">
        <v>0.0</v>
      </c>
      <c r="AI4" s="1">
        <v>0.0</v>
      </c>
      <c r="AJ4" s="1">
        <v>0.0</v>
      </c>
      <c r="AK4" s="1">
        <v>0.0</v>
      </c>
      <c r="AL4" s="26">
        <v>0.0</v>
      </c>
      <c r="AM4" s="26">
        <v>0.0</v>
      </c>
      <c r="AN4" s="26">
        <v>3.0</v>
      </c>
      <c r="AO4" s="26">
        <v>0.0</v>
      </c>
      <c r="AP4" s="26">
        <v>0.0</v>
      </c>
      <c r="AQ4" s="26">
        <v>0.0</v>
      </c>
      <c r="AR4" s="26">
        <v>0.0</v>
      </c>
      <c r="AS4" s="26">
        <v>0.0</v>
      </c>
      <c r="AT4" s="26">
        <v>1.0</v>
      </c>
      <c r="AU4" s="26">
        <v>0.0</v>
      </c>
      <c r="AV4" s="26">
        <v>8.0</v>
      </c>
      <c r="AW4" s="26">
        <v>0.0</v>
      </c>
      <c r="AX4" s="26">
        <v>0.0</v>
      </c>
      <c r="AY4" s="26">
        <v>0.0</v>
      </c>
      <c r="AZ4" s="26">
        <v>0.0</v>
      </c>
      <c r="BA4" s="26">
        <v>0.0</v>
      </c>
      <c r="BB4" s="26">
        <v>0.0</v>
      </c>
      <c r="BC4" s="26">
        <v>0.0</v>
      </c>
      <c r="BD4" s="26">
        <v>0.0</v>
      </c>
      <c r="BE4" s="26">
        <v>0.0</v>
      </c>
      <c r="BF4" s="26">
        <v>0.0</v>
      </c>
      <c r="BG4" s="26">
        <v>0.0</v>
      </c>
      <c r="BH4" s="26">
        <v>0.0</v>
      </c>
      <c r="BI4" s="26">
        <v>0.0</v>
      </c>
      <c r="BJ4" s="26">
        <v>0.0</v>
      </c>
      <c r="BK4" s="26">
        <v>0.0</v>
      </c>
      <c r="BL4" s="26">
        <v>0.0</v>
      </c>
      <c r="BM4" s="26">
        <v>0.0</v>
      </c>
      <c r="BN4" s="26">
        <v>0.0</v>
      </c>
      <c r="BO4" s="26">
        <v>0.0</v>
      </c>
      <c r="BP4" s="26">
        <v>0.0</v>
      </c>
      <c r="BQ4" s="26">
        <v>0.0</v>
      </c>
      <c r="BR4" s="26">
        <v>0.0</v>
      </c>
      <c r="BS4" s="26">
        <v>0.0</v>
      </c>
      <c r="BT4" s="26">
        <v>0.0</v>
      </c>
      <c r="BU4" s="26">
        <v>0.0</v>
      </c>
      <c r="BV4" s="26">
        <v>0.0</v>
      </c>
      <c r="BW4" s="26">
        <v>0.0</v>
      </c>
      <c r="BX4" s="26">
        <v>0.0</v>
      </c>
      <c r="BY4" s="26">
        <v>0.0</v>
      </c>
      <c r="BZ4" s="26">
        <v>0.0</v>
      </c>
      <c r="CA4" s="26">
        <v>0.0</v>
      </c>
      <c r="CB4" s="26">
        <v>0.0</v>
      </c>
      <c r="CC4" s="26">
        <v>0.0</v>
      </c>
      <c r="CD4" s="26">
        <v>0.0</v>
      </c>
      <c r="CE4" s="26">
        <v>0.0</v>
      </c>
    </row>
    <row r="5">
      <c r="A5" s="1" t="s">
        <v>39</v>
      </c>
      <c r="B5" s="22">
        <v>459.0</v>
      </c>
      <c r="C5" s="22">
        <v>387.0</v>
      </c>
      <c r="D5" s="22">
        <v>460.0</v>
      </c>
      <c r="E5" s="22">
        <v>687.0</v>
      </c>
      <c r="F5" s="22">
        <v>760.0</v>
      </c>
      <c r="G5" s="22">
        <v>772.0</v>
      </c>
      <c r="H5" s="22">
        <v>860.0</v>
      </c>
      <c r="I5" s="22">
        <v>795.0</v>
      </c>
      <c r="J5" s="22">
        <v>695.0</v>
      </c>
      <c r="K5" s="22">
        <v>932.0</v>
      </c>
      <c r="L5" s="22">
        <v>1100.0</v>
      </c>
      <c r="M5" s="22">
        <v>1347.0</v>
      </c>
      <c r="N5" s="22">
        <v>1576.0</v>
      </c>
      <c r="O5" s="22">
        <v>1539.0</v>
      </c>
      <c r="P5" s="22">
        <v>1641.0</v>
      </c>
      <c r="Q5" s="22">
        <v>1496.0</v>
      </c>
      <c r="R5" s="22">
        <v>1741.0</v>
      </c>
      <c r="S5" s="22">
        <v>2526.0</v>
      </c>
      <c r="T5" s="22">
        <v>3115.0</v>
      </c>
      <c r="U5" s="22">
        <v>3014.0</v>
      </c>
      <c r="V5" s="22">
        <v>2808.0</v>
      </c>
      <c r="W5" s="22">
        <v>2724.0</v>
      </c>
      <c r="X5" s="22">
        <v>1947.0</v>
      </c>
      <c r="Y5" s="22">
        <v>1640.0</v>
      </c>
      <c r="Z5" s="22">
        <v>1237.0</v>
      </c>
      <c r="AA5" s="22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26">
        <v>10.0</v>
      </c>
      <c r="AM5" s="26">
        <v>4.0</v>
      </c>
      <c r="AN5" s="26">
        <v>6.0</v>
      </c>
      <c r="AO5" s="26">
        <v>4.0</v>
      </c>
      <c r="AP5" s="26">
        <v>3.0</v>
      </c>
      <c r="AQ5" s="26">
        <v>2.0</v>
      </c>
      <c r="AR5" s="26">
        <v>3.0</v>
      </c>
      <c r="AS5" s="26">
        <v>1.0</v>
      </c>
      <c r="AT5" s="26">
        <v>8.0</v>
      </c>
      <c r="AU5" s="26">
        <v>10.0</v>
      </c>
      <c r="AV5" s="26">
        <v>11.0</v>
      </c>
      <c r="AW5" s="26">
        <v>5.0</v>
      </c>
      <c r="AX5" s="26">
        <v>7.0</v>
      </c>
      <c r="AY5" s="26">
        <v>0.0</v>
      </c>
      <c r="AZ5" s="26">
        <v>3.0</v>
      </c>
      <c r="BA5" s="26">
        <v>0.0</v>
      </c>
      <c r="BB5" s="26">
        <v>7.0</v>
      </c>
      <c r="BC5" s="26">
        <v>4.0</v>
      </c>
      <c r="BD5" s="26">
        <v>0.0</v>
      </c>
      <c r="BE5" s="26">
        <v>0.0</v>
      </c>
      <c r="BF5" s="26">
        <v>0.0</v>
      </c>
      <c r="BG5" s="26">
        <v>0.0</v>
      </c>
      <c r="BH5" s="26">
        <v>0.0</v>
      </c>
      <c r="BI5" s="26">
        <v>0.0</v>
      </c>
      <c r="BJ5" s="26">
        <v>5.0</v>
      </c>
      <c r="BK5" s="26">
        <v>1.0</v>
      </c>
      <c r="BL5" s="26">
        <v>0.0</v>
      </c>
      <c r="BM5" s="26">
        <v>0.0</v>
      </c>
      <c r="BN5" s="26">
        <v>0.0</v>
      </c>
      <c r="BO5" s="26">
        <v>0.0</v>
      </c>
      <c r="BP5" s="26">
        <v>0.0</v>
      </c>
      <c r="BQ5" s="26">
        <v>0.0</v>
      </c>
      <c r="BR5" s="26">
        <v>0.0</v>
      </c>
      <c r="BS5" s="26">
        <v>0.0</v>
      </c>
      <c r="BT5" s="26">
        <v>0.0</v>
      </c>
      <c r="BU5" s="26">
        <v>6.0</v>
      </c>
      <c r="BV5" s="26">
        <v>0.0</v>
      </c>
      <c r="BW5" s="26">
        <v>0.0</v>
      </c>
      <c r="BX5" s="26">
        <v>0.0</v>
      </c>
      <c r="BY5" s="26">
        <v>0.0</v>
      </c>
      <c r="BZ5" s="26">
        <v>4.0</v>
      </c>
      <c r="CA5" s="26">
        <v>0.0</v>
      </c>
      <c r="CB5" s="26">
        <v>3.0</v>
      </c>
      <c r="CC5" s="26">
        <v>0.0</v>
      </c>
      <c r="CD5" s="26">
        <v>0.0</v>
      </c>
      <c r="CE5" s="26">
        <v>0.0</v>
      </c>
    </row>
    <row r="6">
      <c r="A6" s="1" t="s">
        <v>41</v>
      </c>
      <c r="B6" s="18">
        <f t="shared" ref="B6:AU6" si="1">SUM(B2:B5)</f>
        <v>470</v>
      </c>
      <c r="C6" s="18">
        <f t="shared" si="1"/>
        <v>398</v>
      </c>
      <c r="D6" s="18">
        <f t="shared" si="1"/>
        <v>516</v>
      </c>
      <c r="E6" s="18">
        <f t="shared" si="1"/>
        <v>687</v>
      </c>
      <c r="F6" s="18">
        <f t="shared" si="1"/>
        <v>792</v>
      </c>
      <c r="G6" s="18">
        <f t="shared" si="1"/>
        <v>806</v>
      </c>
      <c r="H6" s="18">
        <f t="shared" si="1"/>
        <v>958</v>
      </c>
      <c r="I6" s="18">
        <f t="shared" si="1"/>
        <v>832</v>
      </c>
      <c r="J6" s="18">
        <f t="shared" si="1"/>
        <v>726</v>
      </c>
      <c r="K6" s="18">
        <f t="shared" si="1"/>
        <v>1032</v>
      </c>
      <c r="L6" s="18">
        <f t="shared" si="1"/>
        <v>1278</v>
      </c>
      <c r="M6" s="18">
        <f t="shared" si="1"/>
        <v>1639</v>
      </c>
      <c r="N6" s="18">
        <f t="shared" si="1"/>
        <v>1994</v>
      </c>
      <c r="O6" s="18">
        <f t="shared" si="1"/>
        <v>2032</v>
      </c>
      <c r="P6" s="18">
        <f t="shared" si="1"/>
        <v>2107</v>
      </c>
      <c r="Q6" s="18">
        <f t="shared" si="1"/>
        <v>2006</v>
      </c>
      <c r="R6" s="18">
        <f t="shared" si="1"/>
        <v>2246</v>
      </c>
      <c r="S6" s="18">
        <f t="shared" si="1"/>
        <v>3382</v>
      </c>
      <c r="T6" s="18">
        <f t="shared" si="1"/>
        <v>3567</v>
      </c>
      <c r="U6" s="18">
        <f t="shared" si="1"/>
        <v>3684</v>
      </c>
      <c r="V6" s="18">
        <f t="shared" si="1"/>
        <v>3344</v>
      </c>
      <c r="W6" s="18">
        <f t="shared" si="1"/>
        <v>3228</v>
      </c>
      <c r="X6" s="18">
        <f t="shared" si="1"/>
        <v>2527</v>
      </c>
      <c r="Y6" s="18">
        <f t="shared" si="1"/>
        <v>2218</v>
      </c>
      <c r="Z6" s="18">
        <f t="shared" si="1"/>
        <v>1513</v>
      </c>
      <c r="AA6" s="18">
        <f t="shared" si="1"/>
        <v>1032</v>
      </c>
      <c r="AB6" s="18">
        <f t="shared" si="1"/>
        <v>575</v>
      </c>
      <c r="AC6" s="18">
        <f t="shared" si="1"/>
        <v>339</v>
      </c>
      <c r="AD6" s="18">
        <f t="shared" si="1"/>
        <v>251</v>
      </c>
      <c r="AE6" s="18">
        <f t="shared" si="1"/>
        <v>253</v>
      </c>
      <c r="AF6" s="18">
        <f t="shared" si="1"/>
        <v>262</v>
      </c>
      <c r="AG6" s="18">
        <f t="shared" si="1"/>
        <v>406</v>
      </c>
      <c r="AH6" s="18">
        <f t="shared" si="1"/>
        <v>230</v>
      </c>
      <c r="AI6" s="18">
        <f t="shared" si="1"/>
        <v>202</v>
      </c>
      <c r="AJ6" s="18">
        <f t="shared" si="1"/>
        <v>69</v>
      </c>
      <c r="AK6" s="18">
        <f t="shared" si="1"/>
        <v>29</v>
      </c>
      <c r="AL6" s="18">
        <f t="shared" si="1"/>
        <v>26</v>
      </c>
      <c r="AM6" s="18">
        <f t="shared" si="1"/>
        <v>4</v>
      </c>
      <c r="AN6" s="18">
        <f t="shared" si="1"/>
        <v>15</v>
      </c>
      <c r="AO6" s="18">
        <f t="shared" si="1"/>
        <v>7</v>
      </c>
      <c r="AP6" s="18">
        <f t="shared" si="1"/>
        <v>43</v>
      </c>
      <c r="AQ6" s="18">
        <f t="shared" si="1"/>
        <v>76</v>
      </c>
      <c r="AR6" s="18">
        <f t="shared" si="1"/>
        <v>133</v>
      </c>
      <c r="AS6" s="18">
        <f t="shared" si="1"/>
        <v>84</v>
      </c>
      <c r="AT6" s="18">
        <f t="shared" si="1"/>
        <v>39</v>
      </c>
      <c r="AU6" s="18">
        <f t="shared" si="1"/>
        <v>31</v>
      </c>
      <c r="AV6" s="19">
        <v>84.0</v>
      </c>
      <c r="AW6" s="19">
        <v>29.0</v>
      </c>
      <c r="AX6" s="19">
        <v>53.0</v>
      </c>
      <c r="AY6" s="19">
        <v>17.0</v>
      </c>
      <c r="AZ6" s="19">
        <v>40.0</v>
      </c>
      <c r="BA6" s="19">
        <v>34.0</v>
      </c>
      <c r="BB6" s="19">
        <f t="shared" ref="BB6:BC6" si="2">SUM(BB2:BB5)</f>
        <v>20</v>
      </c>
      <c r="BC6" s="19">
        <f t="shared" si="2"/>
        <v>17</v>
      </c>
      <c r="BD6" s="19">
        <v>19.0</v>
      </c>
      <c r="BE6" s="19">
        <v>26.0</v>
      </c>
      <c r="BF6" s="19">
        <f t="shared" ref="BF6:BH6" si="3">SUM(BF2:BF5)</f>
        <v>29</v>
      </c>
      <c r="BG6" s="19">
        <f t="shared" si="3"/>
        <v>6</v>
      </c>
      <c r="BH6" s="19">
        <f t="shared" si="3"/>
        <v>8</v>
      </c>
      <c r="BI6" s="19">
        <v>33.0</v>
      </c>
      <c r="BJ6" s="19">
        <v>35.0</v>
      </c>
      <c r="BK6" s="19">
        <v>9.0</v>
      </c>
      <c r="BL6" s="19">
        <v>5.0</v>
      </c>
      <c r="BM6" s="19">
        <v>7.0</v>
      </c>
      <c r="BN6" s="19">
        <f t="shared" ref="BN6:CE6" si="4">SUM(BN2:BN5)</f>
        <v>12</v>
      </c>
      <c r="BO6" s="19">
        <f t="shared" si="4"/>
        <v>13</v>
      </c>
      <c r="BP6" s="19">
        <f t="shared" si="4"/>
        <v>21</v>
      </c>
      <c r="BQ6" s="19">
        <f t="shared" si="4"/>
        <v>17</v>
      </c>
      <c r="BR6" s="19">
        <f t="shared" si="4"/>
        <v>19</v>
      </c>
      <c r="BS6" s="19">
        <f t="shared" si="4"/>
        <v>10</v>
      </c>
      <c r="BT6" s="19">
        <f t="shared" si="4"/>
        <v>15</v>
      </c>
      <c r="BU6" s="19">
        <f t="shared" si="4"/>
        <v>21</v>
      </c>
      <c r="BV6" s="19">
        <f t="shared" si="4"/>
        <v>4</v>
      </c>
      <c r="BW6" s="19">
        <f t="shared" si="4"/>
        <v>6</v>
      </c>
      <c r="BX6" s="19">
        <f t="shared" si="4"/>
        <v>9</v>
      </c>
      <c r="BY6" s="19">
        <f t="shared" si="4"/>
        <v>16</v>
      </c>
      <c r="BZ6" s="19">
        <f t="shared" si="4"/>
        <v>12</v>
      </c>
      <c r="CA6" s="19">
        <f t="shared" si="4"/>
        <v>56</v>
      </c>
      <c r="CB6" s="19">
        <f t="shared" si="4"/>
        <v>6</v>
      </c>
      <c r="CC6" s="19">
        <f t="shared" si="4"/>
        <v>4</v>
      </c>
      <c r="CD6" s="19">
        <f t="shared" si="4"/>
        <v>0</v>
      </c>
      <c r="CE6" s="19">
        <f t="shared" si="4"/>
        <v>0</v>
      </c>
    </row>
    <row r="7">
      <c r="A7" s="1" t="s">
        <v>47</v>
      </c>
      <c r="C7" s="27">
        <v>35.0</v>
      </c>
      <c r="D7" s="27">
        <v>73.0</v>
      </c>
      <c r="E7" s="27">
        <v>213.0</v>
      </c>
      <c r="F7" s="27">
        <v>220.0</v>
      </c>
      <c r="G7" s="27">
        <v>115.0</v>
      </c>
      <c r="H7" s="27">
        <v>290.0</v>
      </c>
      <c r="I7" s="27">
        <v>295.0</v>
      </c>
      <c r="J7" s="27">
        <v>257.0</v>
      </c>
      <c r="K7" s="27">
        <v>316.0</v>
      </c>
      <c r="L7" s="27">
        <v>316.0</v>
      </c>
      <c r="M7" s="27">
        <v>473.0</v>
      </c>
      <c r="N7" s="27">
        <v>705.0</v>
      </c>
      <c r="O7" s="27">
        <v>472.0</v>
      </c>
      <c r="P7" s="27">
        <v>705.0</v>
      </c>
      <c r="Q7" s="27">
        <v>646.0</v>
      </c>
      <c r="R7" s="27">
        <v>579.0</v>
      </c>
      <c r="S7" s="27">
        <v>737.0</v>
      </c>
      <c r="T7" s="27">
        <v>744.0</v>
      </c>
      <c r="U7" s="27">
        <v>886.0</v>
      </c>
      <c r="V7" s="27">
        <v>803.0</v>
      </c>
      <c r="W7" s="27">
        <v>731.0</v>
      </c>
      <c r="X7" s="27">
        <v>471.0</v>
      </c>
      <c r="Y7" s="27">
        <v>414.0</v>
      </c>
      <c r="Z7" s="27">
        <v>303.0</v>
      </c>
      <c r="AA7" s="27">
        <v>58.0</v>
      </c>
      <c r="AB7" s="27">
        <v>36.0</v>
      </c>
      <c r="AC7" s="27">
        <v>29.0</v>
      </c>
      <c r="AD7" s="27">
        <v>12.0</v>
      </c>
      <c r="AE7" s="27">
        <v>30.0</v>
      </c>
      <c r="AF7" s="27">
        <v>20.0</v>
      </c>
      <c r="AG7" s="27">
        <v>1.0</v>
      </c>
      <c r="AH7" s="27">
        <v>5.0</v>
      </c>
      <c r="AI7" s="22">
        <v>0.0</v>
      </c>
      <c r="AJ7" s="22">
        <v>0.0</v>
      </c>
      <c r="AK7" s="22">
        <v>0.0</v>
      </c>
      <c r="AL7" s="22">
        <v>5.0</v>
      </c>
      <c r="AM7" s="22">
        <v>0.0</v>
      </c>
      <c r="AN7" s="22">
        <v>0.0</v>
      </c>
      <c r="AO7" s="22">
        <v>7.0</v>
      </c>
      <c r="AP7" s="22">
        <v>18.0</v>
      </c>
      <c r="AQ7" s="22">
        <v>25.0</v>
      </c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</row>
    <row r="8">
      <c r="A8" s="1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</row>
    <row r="9">
      <c r="A9" s="1" t="s">
        <v>48</v>
      </c>
      <c r="B9" s="3">
        <f t="shared" ref="B9:AI9" si="5">B1</f>
        <v>45086</v>
      </c>
      <c r="C9" s="3">
        <f t="shared" si="5"/>
        <v>45093</v>
      </c>
      <c r="D9" s="3">
        <f t="shared" si="5"/>
        <v>45100</v>
      </c>
      <c r="E9" s="3">
        <f t="shared" si="5"/>
        <v>45107</v>
      </c>
      <c r="F9" s="3">
        <f t="shared" si="5"/>
        <v>45114</v>
      </c>
      <c r="G9" s="3">
        <f t="shared" si="5"/>
        <v>45121</v>
      </c>
      <c r="H9" s="3">
        <f t="shared" si="5"/>
        <v>45128</v>
      </c>
      <c r="I9" s="3">
        <f t="shared" si="5"/>
        <v>45135</v>
      </c>
      <c r="J9" s="3">
        <f t="shared" si="5"/>
        <v>45142</v>
      </c>
      <c r="K9" s="3">
        <f t="shared" si="5"/>
        <v>45149</v>
      </c>
      <c r="L9" s="3">
        <f t="shared" si="5"/>
        <v>45156</v>
      </c>
      <c r="M9" s="3">
        <f t="shared" si="5"/>
        <v>45163</v>
      </c>
      <c r="N9" s="3">
        <f t="shared" si="5"/>
        <v>45170</v>
      </c>
      <c r="O9" s="3">
        <f t="shared" si="5"/>
        <v>45177</v>
      </c>
      <c r="P9" s="3">
        <f t="shared" si="5"/>
        <v>45184</v>
      </c>
      <c r="Q9" s="3">
        <f t="shared" si="5"/>
        <v>45191</v>
      </c>
      <c r="R9" s="3">
        <f t="shared" si="5"/>
        <v>45198</v>
      </c>
      <c r="S9" s="3">
        <f t="shared" si="5"/>
        <v>45205</v>
      </c>
      <c r="T9" s="3">
        <f t="shared" si="5"/>
        <v>45212</v>
      </c>
      <c r="U9" s="3">
        <f t="shared" si="5"/>
        <v>45219</v>
      </c>
      <c r="V9" s="3">
        <f t="shared" si="5"/>
        <v>45226</v>
      </c>
      <c r="W9" s="3">
        <f t="shared" si="5"/>
        <v>45233</v>
      </c>
      <c r="X9" s="3">
        <f t="shared" si="5"/>
        <v>45240</v>
      </c>
      <c r="Y9" s="3">
        <f t="shared" si="5"/>
        <v>45247</v>
      </c>
      <c r="Z9" s="3">
        <f t="shared" si="5"/>
        <v>45254</v>
      </c>
      <c r="AA9" s="3">
        <f t="shared" si="5"/>
        <v>45261</v>
      </c>
      <c r="AB9" s="3">
        <f t="shared" si="5"/>
        <v>45268</v>
      </c>
      <c r="AC9" s="3">
        <f t="shared" si="5"/>
        <v>45275</v>
      </c>
      <c r="AD9" s="3">
        <f t="shared" si="5"/>
        <v>45282</v>
      </c>
      <c r="AE9" s="3">
        <f t="shared" si="5"/>
        <v>45289</v>
      </c>
      <c r="AF9" s="3">
        <f t="shared" si="5"/>
        <v>45296</v>
      </c>
      <c r="AG9" s="3">
        <f t="shared" si="5"/>
        <v>45303</v>
      </c>
      <c r="AH9" s="3">
        <f t="shared" si="5"/>
        <v>45310</v>
      </c>
      <c r="AI9" s="3">
        <f t="shared" si="5"/>
        <v>45317</v>
      </c>
      <c r="AJ9" s="3">
        <v>45324.0</v>
      </c>
      <c r="AK9" s="3">
        <v>45331.0</v>
      </c>
      <c r="AL9" s="8">
        <v>45338.0</v>
      </c>
      <c r="AM9" s="8">
        <v>45345.0</v>
      </c>
      <c r="AN9" s="8">
        <v>45352.0</v>
      </c>
      <c r="AO9" s="8">
        <v>45359.0</v>
      </c>
      <c r="AP9" s="8">
        <v>45366.0</v>
      </c>
      <c r="AQ9" s="8">
        <v>45373.0</v>
      </c>
      <c r="AR9" s="8">
        <v>45380.0</v>
      </c>
      <c r="AS9" s="23">
        <v>45387.0</v>
      </c>
      <c r="AT9" s="23">
        <v>45394.0</v>
      </c>
      <c r="AU9" s="23">
        <v>45401.0</v>
      </c>
      <c r="AV9" s="23">
        <v>45408.0</v>
      </c>
      <c r="AW9" s="23">
        <v>45415.0</v>
      </c>
      <c r="AX9" s="23">
        <v>45422.0</v>
      </c>
      <c r="AY9" s="23">
        <v>45429.0</v>
      </c>
      <c r="AZ9" s="23">
        <v>45436.0</v>
      </c>
      <c r="BA9" s="23">
        <v>45443.0</v>
      </c>
      <c r="BB9" s="23">
        <v>45450.0</v>
      </c>
      <c r="BC9" s="23">
        <v>45457.0</v>
      </c>
      <c r="BD9" s="23">
        <v>45464.0</v>
      </c>
      <c r="BE9" s="23">
        <v>45471.0</v>
      </c>
      <c r="BF9" s="23">
        <v>45478.0</v>
      </c>
      <c r="BG9" s="23">
        <v>45485.0</v>
      </c>
      <c r="BH9" s="23">
        <v>45492.0</v>
      </c>
      <c r="BI9" s="23">
        <v>45499.0</v>
      </c>
      <c r="BJ9" s="23">
        <v>45506.0</v>
      </c>
      <c r="BK9" s="23">
        <v>45513.0</v>
      </c>
      <c r="BL9" s="23">
        <v>45520.0</v>
      </c>
      <c r="BM9" s="23">
        <v>45527.0</v>
      </c>
      <c r="BN9" s="23">
        <v>45534.0</v>
      </c>
      <c r="BO9" s="23">
        <v>45541.0</v>
      </c>
      <c r="BP9" s="23">
        <v>45548.0</v>
      </c>
      <c r="BQ9" s="23">
        <v>45555.0</v>
      </c>
      <c r="BR9" s="23">
        <v>45562.0</v>
      </c>
      <c r="BS9" s="23">
        <v>45569.0</v>
      </c>
      <c r="BT9" s="23">
        <v>45576.0</v>
      </c>
      <c r="BU9" s="23">
        <v>45583.0</v>
      </c>
      <c r="BV9" s="23">
        <v>45590.0</v>
      </c>
      <c r="BW9" s="23">
        <v>45597.0</v>
      </c>
      <c r="BX9" s="23">
        <v>45604.0</v>
      </c>
      <c r="BY9" s="23">
        <v>45611.0</v>
      </c>
      <c r="BZ9" s="23">
        <v>45618.0</v>
      </c>
      <c r="CA9" s="23">
        <v>45625.0</v>
      </c>
      <c r="CB9" s="23">
        <v>45632.0</v>
      </c>
      <c r="CC9" s="23">
        <v>45639.0</v>
      </c>
      <c r="CD9" s="23">
        <v>45646.0</v>
      </c>
      <c r="CE9" s="23">
        <v>45660.0</v>
      </c>
    </row>
    <row r="10">
      <c r="A10" s="1" t="s">
        <v>49</v>
      </c>
      <c r="B10" s="22"/>
      <c r="F10" s="7"/>
      <c r="J10" s="27">
        <v>556.0</v>
      </c>
      <c r="K10" s="27">
        <v>610.0</v>
      </c>
      <c r="L10" s="27">
        <v>783.0</v>
      </c>
      <c r="M10" s="27">
        <v>798.0</v>
      </c>
      <c r="N10" s="27">
        <v>814.0</v>
      </c>
      <c r="O10" s="27">
        <v>828.0</v>
      </c>
      <c r="P10" s="27">
        <v>996.0</v>
      </c>
      <c r="Q10" s="27">
        <v>992.0</v>
      </c>
      <c r="R10" s="27">
        <v>1000.0</v>
      </c>
      <c r="S10" s="27">
        <v>1198.0</v>
      </c>
      <c r="T10" s="27">
        <v>1151.0</v>
      </c>
      <c r="U10" s="27">
        <v>1302.0</v>
      </c>
      <c r="V10" s="27">
        <v>1283.0</v>
      </c>
      <c r="W10" s="27">
        <v>1269.0</v>
      </c>
      <c r="X10" s="27">
        <v>1269.0</v>
      </c>
      <c r="Y10" s="27">
        <v>1228.0</v>
      </c>
      <c r="Z10" s="27">
        <v>1194.0</v>
      </c>
      <c r="AA10" s="27">
        <v>1265.0</v>
      </c>
      <c r="AB10" s="27">
        <v>1247.0</v>
      </c>
      <c r="AC10" s="27">
        <v>1242.0</v>
      </c>
      <c r="AD10" s="27">
        <v>1226.0</v>
      </c>
      <c r="AE10" s="27">
        <v>1204.0</v>
      </c>
      <c r="AF10" s="27">
        <v>1200.0</v>
      </c>
      <c r="AG10" s="27">
        <v>1170.0</v>
      </c>
      <c r="AH10" s="22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50</v>
      </c>
      <c r="B11" s="36"/>
      <c r="F11" s="7"/>
      <c r="J11" s="22"/>
      <c r="O11" s="27"/>
      <c r="AG11" s="1"/>
      <c r="AH11" s="1"/>
      <c r="AI11" s="1"/>
      <c r="AJ11" s="1"/>
      <c r="AK11" s="1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>
        <v>0.0</v>
      </c>
      <c r="BG11" s="26">
        <v>23.0</v>
      </c>
      <c r="BH11" s="26">
        <v>49.0</v>
      </c>
      <c r="BI11" s="26">
        <v>97.0</v>
      </c>
      <c r="BJ11" s="26">
        <v>113.0</v>
      </c>
      <c r="BK11" s="26">
        <v>119.0</v>
      </c>
      <c r="BL11" s="26">
        <v>131.0</v>
      </c>
      <c r="BM11" s="26">
        <v>139.0</v>
      </c>
      <c r="BN11" s="26">
        <v>160.0</v>
      </c>
      <c r="BO11" s="26">
        <v>151.0</v>
      </c>
      <c r="BP11" s="26">
        <v>190.0</v>
      </c>
      <c r="BQ11" s="26">
        <v>233.0</v>
      </c>
      <c r="BR11" s="26">
        <v>245.0</v>
      </c>
      <c r="BS11" s="26">
        <v>267.0</v>
      </c>
      <c r="BT11" s="26">
        <v>260.0</v>
      </c>
      <c r="BU11" s="26">
        <v>234.0</v>
      </c>
      <c r="BV11" s="26">
        <v>236.0</v>
      </c>
      <c r="BW11" s="26">
        <v>316.0</v>
      </c>
      <c r="BX11" s="26">
        <v>309.0</v>
      </c>
      <c r="BY11" s="26">
        <v>442.0</v>
      </c>
      <c r="BZ11" s="26">
        <v>471.0</v>
      </c>
      <c r="CA11" s="26">
        <v>607.0</v>
      </c>
      <c r="CB11" s="26">
        <v>583.0</v>
      </c>
      <c r="CC11" s="26">
        <v>527.0</v>
      </c>
      <c r="CD11" s="26">
        <v>527.0</v>
      </c>
      <c r="CE11" s="26">
        <v>658.0</v>
      </c>
    </row>
    <row r="12">
      <c r="A12" s="1" t="s">
        <v>52</v>
      </c>
      <c r="B12" s="36"/>
      <c r="F12" s="7"/>
      <c r="J12" s="22"/>
      <c r="O12" s="27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26">
        <v>511.0</v>
      </c>
      <c r="AM12" s="26">
        <v>534.0</v>
      </c>
      <c r="AN12" s="26">
        <v>515.0</v>
      </c>
      <c r="AO12" s="26">
        <v>476.0</v>
      </c>
      <c r="AP12" s="26">
        <v>516.0</v>
      </c>
      <c r="AQ12" s="26">
        <v>466.0</v>
      </c>
      <c r="AR12" s="26">
        <v>411.0</v>
      </c>
      <c r="AS12" s="26">
        <v>398.0</v>
      </c>
      <c r="AT12" s="26">
        <v>325.0</v>
      </c>
      <c r="AU12" s="26">
        <v>345.0</v>
      </c>
      <c r="AV12" s="26">
        <v>294.0</v>
      </c>
      <c r="AW12" s="26">
        <v>281.0</v>
      </c>
      <c r="AX12" s="26">
        <v>405.0</v>
      </c>
      <c r="AY12" s="26">
        <v>376.0</v>
      </c>
      <c r="AZ12" s="26">
        <v>358.0</v>
      </c>
      <c r="BA12" s="26">
        <v>345.0</v>
      </c>
      <c r="BB12" s="26">
        <v>343.0</v>
      </c>
      <c r="BC12" s="26">
        <v>330.0</v>
      </c>
      <c r="BD12" s="26">
        <v>307.0</v>
      </c>
      <c r="BE12" s="26">
        <v>296.0</v>
      </c>
      <c r="BF12" s="26">
        <v>286.0</v>
      </c>
      <c r="BG12" s="26">
        <v>263.0</v>
      </c>
      <c r="BH12" s="26">
        <v>281.0</v>
      </c>
      <c r="BI12" s="26">
        <v>266.0</v>
      </c>
      <c r="BJ12" s="26">
        <v>263.0</v>
      </c>
      <c r="BK12" s="26">
        <v>252.0</v>
      </c>
      <c r="BL12" s="26">
        <v>229.0</v>
      </c>
      <c r="BM12" s="26">
        <v>224.0</v>
      </c>
      <c r="BN12" s="26">
        <v>211.0</v>
      </c>
      <c r="BO12" s="26">
        <v>203.0</v>
      </c>
      <c r="BP12" s="26">
        <v>210.0</v>
      </c>
      <c r="BQ12" s="26">
        <v>285.0</v>
      </c>
      <c r="BR12" s="26">
        <v>342.0</v>
      </c>
      <c r="BS12" s="26">
        <v>319.0</v>
      </c>
      <c r="BT12" s="26">
        <v>333.0</v>
      </c>
      <c r="BU12" s="26">
        <v>365.0</v>
      </c>
      <c r="BV12" s="26">
        <v>375.0</v>
      </c>
      <c r="BW12" s="26">
        <v>373.0</v>
      </c>
      <c r="BX12" s="26">
        <v>466.0</v>
      </c>
      <c r="BY12" s="26">
        <v>454.0</v>
      </c>
      <c r="BZ12" s="26">
        <v>441.0</v>
      </c>
      <c r="CA12" s="26">
        <v>464.0</v>
      </c>
      <c r="CB12" s="26">
        <v>468.0</v>
      </c>
      <c r="CC12" s="26">
        <v>430.0</v>
      </c>
      <c r="CD12" s="26">
        <v>436.0</v>
      </c>
      <c r="CE12" s="26">
        <v>419.0</v>
      </c>
    </row>
    <row r="13">
      <c r="A13" s="1" t="s">
        <v>54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26"/>
      <c r="AM13" s="26"/>
      <c r="AN13" s="26"/>
      <c r="AO13" s="26"/>
      <c r="AP13" s="26"/>
      <c r="AQ13" s="26"/>
      <c r="AR13" s="26"/>
      <c r="AS13" s="26">
        <v>31.0</v>
      </c>
      <c r="AT13" s="26">
        <v>20.0</v>
      </c>
      <c r="AU13" s="26">
        <v>91.0</v>
      </c>
      <c r="AV13" s="26">
        <v>152.0</v>
      </c>
      <c r="AW13" s="26">
        <v>0.0</v>
      </c>
      <c r="AX13" s="26">
        <v>0.0</v>
      </c>
      <c r="AY13" s="26">
        <v>0.0</v>
      </c>
      <c r="AZ13" s="26">
        <v>106.0</v>
      </c>
      <c r="BA13" s="26">
        <v>132.0</v>
      </c>
      <c r="BB13" s="26">
        <v>143.0</v>
      </c>
      <c r="BC13" s="26">
        <v>192.0</v>
      </c>
      <c r="BD13" s="26">
        <v>226.0</v>
      </c>
      <c r="BE13" s="26">
        <v>241.0</v>
      </c>
      <c r="BF13" s="26">
        <v>238.0</v>
      </c>
      <c r="BG13" s="26">
        <v>231.0</v>
      </c>
      <c r="BH13" s="26">
        <v>219.0</v>
      </c>
      <c r="BI13" s="26">
        <v>221.0</v>
      </c>
      <c r="BJ13" s="26">
        <v>248.0</v>
      </c>
      <c r="BK13" s="26">
        <v>265.0</v>
      </c>
      <c r="BL13" s="26">
        <v>243.0</v>
      </c>
      <c r="BM13" s="26">
        <v>245.0</v>
      </c>
      <c r="BN13" s="26">
        <v>242.0</v>
      </c>
      <c r="BO13" s="26">
        <v>239.0</v>
      </c>
      <c r="BP13" s="26">
        <v>261.0</v>
      </c>
      <c r="BQ13" s="26">
        <v>247.0</v>
      </c>
      <c r="BR13" s="26">
        <v>247.0</v>
      </c>
      <c r="BS13" s="26">
        <v>220.0</v>
      </c>
      <c r="BT13" s="26">
        <v>228.0</v>
      </c>
      <c r="BU13" s="26">
        <v>363.0</v>
      </c>
      <c r="BV13" s="26">
        <v>355.0</v>
      </c>
      <c r="BW13" s="26">
        <v>358.0</v>
      </c>
      <c r="BX13" s="26">
        <v>356.0</v>
      </c>
      <c r="BY13" s="26">
        <v>432.0</v>
      </c>
      <c r="BZ13" s="26">
        <v>516.0</v>
      </c>
      <c r="CA13" s="26">
        <v>536.0</v>
      </c>
      <c r="CB13" s="26">
        <v>520.0</v>
      </c>
      <c r="CC13" s="26">
        <v>512.0</v>
      </c>
      <c r="CD13" s="26">
        <v>547.0</v>
      </c>
      <c r="CE13" s="26">
        <v>568.0</v>
      </c>
    </row>
    <row r="14">
      <c r="A14" s="1" t="s">
        <v>56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27">
        <v>249.0</v>
      </c>
      <c r="U14" s="27">
        <v>243.0</v>
      </c>
      <c r="V14" s="27">
        <v>248.0</v>
      </c>
      <c r="W14" s="27">
        <v>244.0</v>
      </c>
      <c r="X14" s="27">
        <v>246.0</v>
      </c>
      <c r="Y14" s="27">
        <v>248.0</v>
      </c>
      <c r="Z14" s="27">
        <v>246.0</v>
      </c>
      <c r="AA14" s="27">
        <v>241.0</v>
      </c>
      <c r="AB14" s="27">
        <v>245.0</v>
      </c>
      <c r="AC14" s="27">
        <v>248.0</v>
      </c>
      <c r="AD14" s="27">
        <v>248.0</v>
      </c>
      <c r="AE14" s="27">
        <v>256.0</v>
      </c>
      <c r="AF14" s="27">
        <v>259.0</v>
      </c>
      <c r="AG14" s="27">
        <v>260.0</v>
      </c>
      <c r="AH14" s="22">
        <v>257.0</v>
      </c>
      <c r="AI14" s="1">
        <v>232.0</v>
      </c>
      <c r="AJ14" s="1">
        <v>217.0</v>
      </c>
      <c r="AK14" s="1">
        <v>198.0</v>
      </c>
      <c r="AL14" s="26">
        <v>207.0</v>
      </c>
      <c r="AM14" s="26">
        <v>196.0</v>
      </c>
      <c r="AN14" s="26">
        <v>237.0</v>
      </c>
      <c r="AO14" s="26">
        <v>223.0</v>
      </c>
      <c r="AP14" s="26">
        <v>216.0</v>
      </c>
      <c r="AQ14" s="26">
        <v>195.0</v>
      </c>
      <c r="AR14" s="26">
        <v>191.0</v>
      </c>
      <c r="AS14" s="26">
        <v>182.0</v>
      </c>
      <c r="AT14" s="26">
        <v>208.0</v>
      </c>
      <c r="AU14" s="26">
        <v>196.0</v>
      </c>
      <c r="AV14" s="26">
        <v>159.0</v>
      </c>
      <c r="AW14" s="26">
        <v>158.0</v>
      </c>
      <c r="AX14" s="26">
        <v>196.0</v>
      </c>
      <c r="AY14" s="26">
        <v>189.0</v>
      </c>
      <c r="AZ14" s="26">
        <v>173.0</v>
      </c>
      <c r="BA14" s="26">
        <v>151.0</v>
      </c>
      <c r="BB14" s="26">
        <v>190.0</v>
      </c>
      <c r="BC14" s="26">
        <v>210.0</v>
      </c>
      <c r="BD14" s="26">
        <v>220.0</v>
      </c>
      <c r="BE14" s="26">
        <v>222.0</v>
      </c>
      <c r="BF14" s="26">
        <v>225.0</v>
      </c>
      <c r="BG14" s="26">
        <v>218.0</v>
      </c>
      <c r="BH14" s="26">
        <v>235.0</v>
      </c>
      <c r="BI14" s="26">
        <v>238.0</v>
      </c>
      <c r="BJ14" s="26">
        <v>229.0</v>
      </c>
      <c r="BK14" s="26">
        <v>237.0</v>
      </c>
      <c r="BL14" s="26">
        <v>232.0</v>
      </c>
      <c r="BM14" s="26">
        <v>238.0</v>
      </c>
      <c r="BN14" s="26">
        <v>222.0</v>
      </c>
      <c r="BO14" s="26">
        <v>208.0</v>
      </c>
      <c r="BP14" s="26">
        <v>195.0</v>
      </c>
      <c r="BQ14" s="26">
        <v>206.0</v>
      </c>
      <c r="BR14" s="26">
        <v>254.0</v>
      </c>
      <c r="BS14" s="26">
        <v>259.0</v>
      </c>
      <c r="BT14" s="26">
        <v>255.0</v>
      </c>
      <c r="BU14" s="26">
        <v>249.0</v>
      </c>
      <c r="BV14" s="26">
        <v>258.0</v>
      </c>
      <c r="BW14" s="26">
        <v>254.0</v>
      </c>
      <c r="BX14" s="26">
        <v>254.0</v>
      </c>
      <c r="BY14" s="26">
        <v>254.0</v>
      </c>
      <c r="BZ14" s="26">
        <v>224.0</v>
      </c>
      <c r="CA14" s="26">
        <v>201.0</v>
      </c>
      <c r="CB14" s="26">
        <v>174.0</v>
      </c>
      <c r="CC14" s="26">
        <v>172.0</v>
      </c>
      <c r="CD14" s="26">
        <v>170.0</v>
      </c>
      <c r="CE14" s="26">
        <v>260.0</v>
      </c>
    </row>
    <row r="15">
      <c r="B15" s="36"/>
      <c r="Q15" s="36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</row>
    <row r="16">
      <c r="A16" s="1" t="s">
        <v>59</v>
      </c>
      <c r="B16" s="36"/>
      <c r="Q16" s="36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</row>
    <row r="17">
      <c r="A17" s="1" t="s">
        <v>60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63</v>
      </c>
      <c r="B18" s="22">
        <v>169.0</v>
      </c>
      <c r="C18" s="22">
        <v>155.0</v>
      </c>
      <c r="D18" s="22">
        <v>144.0</v>
      </c>
      <c r="E18" s="22">
        <v>160.0</v>
      </c>
      <c r="F18" s="22">
        <v>130.0</v>
      </c>
      <c r="G18" s="22">
        <v>145.0</v>
      </c>
      <c r="H18" s="22">
        <v>150.0</v>
      </c>
      <c r="I18" s="22">
        <v>150.0</v>
      </c>
      <c r="J18" s="22">
        <v>151.0</v>
      </c>
      <c r="K18" s="22">
        <v>152.0</v>
      </c>
      <c r="L18" s="22">
        <v>150.0</v>
      </c>
      <c r="M18" s="22">
        <v>150.0</v>
      </c>
      <c r="N18" s="22">
        <v>145.0</v>
      </c>
      <c r="O18" s="22">
        <v>146.0</v>
      </c>
      <c r="P18" s="22">
        <v>139.0</v>
      </c>
      <c r="Q18" s="22">
        <v>151.0</v>
      </c>
      <c r="R18" s="22">
        <v>145.0</v>
      </c>
      <c r="S18" s="22">
        <v>150.0</v>
      </c>
      <c r="T18" s="22">
        <v>145.0</v>
      </c>
      <c r="U18" s="22">
        <v>148.0</v>
      </c>
      <c r="V18" s="22">
        <v>150.0</v>
      </c>
      <c r="W18" s="22">
        <v>146.0</v>
      </c>
      <c r="X18" s="22">
        <v>142.0</v>
      </c>
      <c r="Y18" s="22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67</v>
      </c>
      <c r="B19" s="22"/>
      <c r="F19" s="7"/>
      <c r="J19" s="22">
        <v>267.0</v>
      </c>
      <c r="K19" s="22">
        <v>269.0</v>
      </c>
      <c r="L19" s="22">
        <v>343.0</v>
      </c>
      <c r="M19" s="22">
        <v>347.0</v>
      </c>
      <c r="N19" s="22">
        <v>350.0</v>
      </c>
      <c r="O19" s="22">
        <v>349.0</v>
      </c>
      <c r="P19" s="22">
        <v>350.0</v>
      </c>
      <c r="Q19" s="22">
        <v>350.0</v>
      </c>
      <c r="R19" s="22">
        <v>347.0</v>
      </c>
      <c r="S19" s="22">
        <v>347.0</v>
      </c>
      <c r="T19" s="22">
        <v>349.0</v>
      </c>
      <c r="U19" s="22">
        <v>329.0</v>
      </c>
      <c r="V19" s="22">
        <v>345.0</v>
      </c>
      <c r="W19" s="22">
        <v>344.0</v>
      </c>
      <c r="X19" s="22">
        <v>344.0</v>
      </c>
      <c r="Y19" s="22">
        <v>317.0</v>
      </c>
      <c r="Z19" s="22">
        <v>340.0</v>
      </c>
      <c r="AA19" s="22">
        <v>345.0</v>
      </c>
      <c r="AB19" s="22">
        <v>341.0</v>
      </c>
      <c r="AC19" s="22">
        <v>342.0</v>
      </c>
      <c r="AD19" s="22">
        <v>344.0</v>
      </c>
      <c r="AE19" s="22">
        <v>350.0</v>
      </c>
      <c r="AF19" s="22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69</v>
      </c>
      <c r="B20" s="22"/>
      <c r="F20" s="7"/>
      <c r="J20" s="22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  <c r="BG20" s="26"/>
      <c r="BH20" s="26"/>
      <c r="BI20" s="26"/>
      <c r="BJ20" s="26"/>
      <c r="BK20" s="26"/>
      <c r="BL20" s="26"/>
      <c r="BM20" s="26"/>
      <c r="BN20" s="26"/>
      <c r="BO20" s="26"/>
      <c r="BP20" s="26"/>
      <c r="BQ20" s="26"/>
      <c r="BR20" s="26"/>
      <c r="BS20" s="26"/>
      <c r="BT20" s="26"/>
      <c r="BU20" s="26"/>
      <c r="BV20" s="26"/>
      <c r="BW20" s="26"/>
      <c r="BX20" s="26"/>
      <c r="BY20" s="26"/>
      <c r="BZ20" s="26"/>
      <c r="CA20" s="26"/>
      <c r="CB20" s="26"/>
      <c r="CC20" s="26"/>
      <c r="CD20" s="26"/>
      <c r="CE20" s="26"/>
    </row>
    <row r="21">
      <c r="A21" s="1" t="s">
        <v>70</v>
      </c>
      <c r="B21" s="22">
        <v>172.0</v>
      </c>
      <c r="C21" s="22">
        <v>411.0</v>
      </c>
      <c r="D21" s="22">
        <v>415.0</v>
      </c>
      <c r="E21" s="22">
        <v>392.0</v>
      </c>
      <c r="F21" s="22">
        <v>407.0</v>
      </c>
      <c r="G21" s="22">
        <v>412.0</v>
      </c>
      <c r="H21" s="22">
        <v>415.0</v>
      </c>
      <c r="I21" s="22">
        <v>410.0</v>
      </c>
      <c r="J21" s="22">
        <v>256.0</v>
      </c>
      <c r="K21" s="22">
        <v>254.0</v>
      </c>
      <c r="L21" s="22">
        <v>255.0</v>
      </c>
      <c r="M21" s="22">
        <v>256.0</v>
      </c>
      <c r="N21" s="22">
        <v>256.0</v>
      </c>
      <c r="O21" s="22">
        <v>252.0</v>
      </c>
      <c r="P21" s="22">
        <v>253.0</v>
      </c>
      <c r="Q21" s="22">
        <v>252.0</v>
      </c>
      <c r="R21" s="22">
        <v>255.0</v>
      </c>
      <c r="S21" s="22">
        <v>246.0</v>
      </c>
      <c r="T21" s="22">
        <v>256.0</v>
      </c>
      <c r="U21" s="22">
        <v>256.0</v>
      </c>
      <c r="V21" s="22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72</v>
      </c>
      <c r="B22" s="22"/>
      <c r="F22" s="7"/>
      <c r="J22" s="22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75</v>
      </c>
      <c r="B23" s="22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76</v>
      </c>
      <c r="B24" s="22"/>
      <c r="F24" s="7"/>
      <c r="J24" s="22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78</v>
      </c>
      <c r="B25" s="22"/>
      <c r="F25" s="7"/>
      <c r="J25" s="22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26"/>
      <c r="BL25" s="26"/>
      <c r="BM25" s="26"/>
      <c r="BN25" s="26"/>
      <c r="BO25" s="26"/>
      <c r="BP25" s="26"/>
      <c r="BQ25" s="26"/>
      <c r="BR25" s="26"/>
      <c r="BS25" s="26"/>
      <c r="BT25" s="26"/>
      <c r="BU25" s="26"/>
      <c r="BV25" s="26"/>
      <c r="BW25" s="26"/>
      <c r="BX25" s="26"/>
      <c r="BY25" s="26"/>
      <c r="BZ25" s="26"/>
      <c r="CA25" s="26"/>
      <c r="CB25" s="26"/>
      <c r="CC25" s="26"/>
      <c r="CD25" s="26"/>
      <c r="CE25" s="26"/>
    </row>
    <row r="26">
      <c r="A26" s="1" t="s">
        <v>79</v>
      </c>
      <c r="B26" s="22">
        <v>1432.0</v>
      </c>
      <c r="C26" s="22">
        <v>1252.0</v>
      </c>
      <c r="D26" s="22">
        <v>1398.0</v>
      </c>
      <c r="E26" s="22">
        <v>1388.0</v>
      </c>
      <c r="F26" s="22">
        <v>1408.0</v>
      </c>
      <c r="G26" s="22">
        <v>1426.0</v>
      </c>
      <c r="H26" s="22">
        <v>1468.0</v>
      </c>
      <c r="I26" s="22">
        <v>1507.0</v>
      </c>
      <c r="J26" s="22">
        <v>1509.0</v>
      </c>
      <c r="K26" s="22">
        <v>1503.0</v>
      </c>
      <c r="L26" s="22">
        <v>1469.0</v>
      </c>
      <c r="M26" s="22">
        <v>1550.0</v>
      </c>
      <c r="N26" s="22">
        <v>1543.0</v>
      </c>
      <c r="O26" s="22">
        <v>1503.0</v>
      </c>
      <c r="P26" s="22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26">
        <v>1180.0</v>
      </c>
      <c r="AM26" s="26">
        <v>1171.0</v>
      </c>
      <c r="AN26" s="26">
        <v>1166.0</v>
      </c>
      <c r="AO26" s="26">
        <v>1152.0</v>
      </c>
      <c r="AP26" s="26">
        <v>1204.0</v>
      </c>
      <c r="AQ26" s="26">
        <v>1167.0</v>
      </c>
      <c r="AR26" s="26">
        <v>1198.0</v>
      </c>
      <c r="AS26" s="26">
        <v>1153.0</v>
      </c>
      <c r="AT26" s="15">
        <v>1090.0</v>
      </c>
      <c r="AU26" s="15">
        <v>1028.0</v>
      </c>
      <c r="AV26" s="15">
        <v>974.0</v>
      </c>
      <c r="AW26" s="15">
        <v>949.0</v>
      </c>
      <c r="AX26" s="15">
        <v>891.0</v>
      </c>
      <c r="AY26" s="15">
        <v>869.0</v>
      </c>
      <c r="AZ26" s="15">
        <v>827.0</v>
      </c>
      <c r="BA26" s="15">
        <v>788.0</v>
      </c>
      <c r="BB26" s="15">
        <v>748.0</v>
      </c>
      <c r="BC26" s="15">
        <v>808.0</v>
      </c>
      <c r="BD26" s="15">
        <v>706.0</v>
      </c>
      <c r="BE26" s="15">
        <v>691.0</v>
      </c>
      <c r="BF26" s="15">
        <v>717.0</v>
      </c>
      <c r="BG26" s="15">
        <v>774.0</v>
      </c>
      <c r="BH26" s="15">
        <v>759.0</v>
      </c>
      <c r="BI26" s="15">
        <v>757.0</v>
      </c>
      <c r="BJ26" s="15">
        <v>745.0</v>
      </c>
      <c r="BK26" s="15">
        <v>752.0</v>
      </c>
      <c r="BL26" s="15">
        <v>720.0</v>
      </c>
      <c r="BM26" s="15">
        <v>705.0</v>
      </c>
      <c r="BN26" s="15">
        <v>731.0</v>
      </c>
      <c r="BO26" s="15">
        <v>739.0</v>
      </c>
      <c r="BP26" s="15">
        <v>792.0</v>
      </c>
      <c r="BQ26" s="15">
        <v>834.0</v>
      </c>
      <c r="BR26" s="15">
        <v>868.0</v>
      </c>
      <c r="BS26" s="15">
        <v>924.0</v>
      </c>
      <c r="BT26" s="15">
        <v>933.0</v>
      </c>
      <c r="BU26" s="15">
        <v>915.0</v>
      </c>
      <c r="BV26" s="15">
        <v>904.0</v>
      </c>
      <c r="BW26" s="15">
        <v>835.0</v>
      </c>
      <c r="BX26" s="15">
        <v>400.0</v>
      </c>
      <c r="BY26" s="15"/>
      <c r="BZ26" s="15"/>
      <c r="CA26" s="15"/>
      <c r="CB26" s="15"/>
      <c r="CC26" s="15"/>
      <c r="CD26" s="15"/>
      <c r="CE26" s="15"/>
    </row>
    <row r="27">
      <c r="A27" s="1" t="s">
        <v>81</v>
      </c>
      <c r="B27" s="22"/>
      <c r="F27" s="7"/>
      <c r="J27" s="22"/>
      <c r="O27" s="27">
        <v>377.0</v>
      </c>
      <c r="P27" s="27">
        <v>603.0</v>
      </c>
      <c r="Q27" s="27">
        <v>602.0</v>
      </c>
      <c r="R27" s="27">
        <v>598.0</v>
      </c>
      <c r="S27" s="27">
        <v>625.0</v>
      </c>
      <c r="T27" s="27">
        <v>616.0</v>
      </c>
      <c r="U27" s="27">
        <v>616.0</v>
      </c>
      <c r="V27" s="27">
        <v>628.0</v>
      </c>
      <c r="W27" s="27">
        <v>607.0</v>
      </c>
      <c r="X27" s="27">
        <v>619.0</v>
      </c>
      <c r="Y27" s="27">
        <v>606.0</v>
      </c>
      <c r="Z27" s="27">
        <v>617.0</v>
      </c>
      <c r="AA27" s="27">
        <v>615.0</v>
      </c>
      <c r="AB27" s="27">
        <v>589.0</v>
      </c>
      <c r="AC27" s="27">
        <v>588.0</v>
      </c>
      <c r="AD27" s="27">
        <v>591.0</v>
      </c>
      <c r="AE27" s="27">
        <v>602.0</v>
      </c>
      <c r="AF27" s="27">
        <v>601.0</v>
      </c>
      <c r="AG27" s="27">
        <v>600.0</v>
      </c>
      <c r="AH27" s="22">
        <v>597.0</v>
      </c>
      <c r="AI27" s="1">
        <v>577.0</v>
      </c>
      <c r="AJ27" s="1">
        <v>571.0</v>
      </c>
      <c r="AK27" s="1">
        <v>553.0</v>
      </c>
      <c r="AL27" s="26">
        <v>546.0</v>
      </c>
      <c r="AM27" s="26">
        <v>544.0</v>
      </c>
      <c r="AN27" s="26">
        <v>532.0</v>
      </c>
      <c r="AO27" s="26">
        <v>581.0</v>
      </c>
      <c r="AP27" s="26">
        <v>557.0</v>
      </c>
      <c r="AQ27" s="26">
        <v>572.0</v>
      </c>
      <c r="AR27" s="26">
        <v>518.0</v>
      </c>
      <c r="AS27" s="26">
        <v>481.0</v>
      </c>
      <c r="AT27" s="26">
        <v>459.0</v>
      </c>
      <c r="AU27" s="26">
        <v>449.0</v>
      </c>
      <c r="AV27" s="26">
        <v>424.0</v>
      </c>
      <c r="AW27" s="26">
        <v>406.0</v>
      </c>
      <c r="AX27" s="26">
        <v>381.0</v>
      </c>
      <c r="AY27" s="26">
        <v>384.0</v>
      </c>
      <c r="AZ27" s="26">
        <v>352.0</v>
      </c>
      <c r="BA27" s="26">
        <v>311.0</v>
      </c>
      <c r="BB27" s="26">
        <v>427.0</v>
      </c>
      <c r="BC27" s="26">
        <v>402.0</v>
      </c>
      <c r="BD27" s="26">
        <v>366.0</v>
      </c>
      <c r="BE27" s="26">
        <v>366.0</v>
      </c>
      <c r="BF27" s="26">
        <v>348.0</v>
      </c>
      <c r="BG27" s="26">
        <v>374.0</v>
      </c>
      <c r="BH27" s="26">
        <v>398.0</v>
      </c>
      <c r="BI27" s="26">
        <v>381.0</v>
      </c>
      <c r="BJ27" s="26">
        <v>379.0</v>
      </c>
      <c r="BK27" s="26">
        <v>374.0</v>
      </c>
      <c r="BL27" s="26">
        <v>405.0</v>
      </c>
      <c r="BM27" s="26">
        <v>379.0</v>
      </c>
      <c r="BN27" s="26">
        <v>384.0</v>
      </c>
      <c r="BO27" s="26">
        <v>380.0</v>
      </c>
      <c r="BP27" s="26">
        <v>331.0</v>
      </c>
      <c r="BQ27" s="26">
        <v>307.0</v>
      </c>
      <c r="BR27" s="26">
        <v>271.0</v>
      </c>
      <c r="BS27" s="26">
        <v>249.0</v>
      </c>
      <c r="BT27" s="26">
        <v>177.0</v>
      </c>
      <c r="BU27" s="26"/>
      <c r="BV27" s="26"/>
      <c r="BW27" s="26"/>
      <c r="BX27" s="26"/>
      <c r="BY27" s="26"/>
      <c r="BZ27" s="26"/>
      <c r="CA27" s="26"/>
      <c r="CB27" s="26"/>
      <c r="CC27" s="26"/>
      <c r="CD27" s="26"/>
      <c r="CE27" s="26"/>
    </row>
    <row r="28">
      <c r="A28" s="1" t="s">
        <v>84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27">
        <v>91.0</v>
      </c>
      <c r="P28" s="27">
        <v>99.0</v>
      </c>
      <c r="Q28" s="27">
        <v>101.0</v>
      </c>
      <c r="R28" s="27">
        <v>99.0</v>
      </c>
      <c r="S28" s="27">
        <v>99.0</v>
      </c>
      <c r="T28" s="27">
        <v>98.0</v>
      </c>
      <c r="U28" s="27">
        <v>99.0</v>
      </c>
      <c r="V28" s="27">
        <v>99.0</v>
      </c>
      <c r="W28" s="27">
        <v>99.0</v>
      </c>
      <c r="X28" s="27">
        <v>98.0</v>
      </c>
      <c r="Y28" s="27">
        <v>94.0</v>
      </c>
      <c r="Z28" s="27">
        <v>93.0</v>
      </c>
      <c r="AA28" s="27">
        <v>95.0</v>
      </c>
      <c r="AB28" s="27">
        <v>93.0</v>
      </c>
      <c r="AC28" s="27">
        <v>98.0</v>
      </c>
      <c r="AD28" s="27">
        <v>95.0</v>
      </c>
      <c r="AE28" s="27">
        <v>98.0</v>
      </c>
      <c r="AF28" s="27">
        <v>99.0</v>
      </c>
      <c r="AG28" s="27">
        <v>100.0</v>
      </c>
      <c r="AH28" s="22">
        <v>98.0</v>
      </c>
      <c r="AI28" s="1">
        <v>90.0</v>
      </c>
      <c r="AJ28" s="1">
        <v>94.0</v>
      </c>
      <c r="AK28" s="1">
        <v>92.0</v>
      </c>
      <c r="AL28" s="26">
        <v>88.0</v>
      </c>
      <c r="AM28" s="26">
        <v>91.0</v>
      </c>
      <c r="AN28" s="26">
        <v>87.0</v>
      </c>
      <c r="AO28" s="26">
        <v>75.0</v>
      </c>
      <c r="AP28" s="26">
        <v>61.0</v>
      </c>
      <c r="AQ28" s="26">
        <v>57.0</v>
      </c>
      <c r="AR28" s="26">
        <v>32.0</v>
      </c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26"/>
      <c r="BL28" s="26"/>
      <c r="BM28" s="26"/>
      <c r="BN28" s="26"/>
      <c r="BO28" s="26"/>
      <c r="BP28" s="26"/>
      <c r="BQ28" s="26"/>
      <c r="BR28" s="26"/>
      <c r="BS28" s="26"/>
      <c r="BT28" s="26"/>
      <c r="BU28" s="26"/>
      <c r="BV28" s="26"/>
      <c r="BW28" s="26"/>
      <c r="BX28" s="26"/>
      <c r="BY28" s="26"/>
      <c r="BZ28" s="26"/>
      <c r="CA28" s="26"/>
      <c r="CB28" s="26"/>
      <c r="CC28" s="26"/>
      <c r="CD28" s="26"/>
      <c r="CE28" s="26"/>
    </row>
    <row r="29">
      <c r="A29" s="1" t="s">
        <v>87</v>
      </c>
      <c r="B29" s="36"/>
      <c r="F29" s="7"/>
      <c r="J29" s="22"/>
      <c r="O29" s="27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26">
        <v>206.0</v>
      </c>
      <c r="AM29" s="26">
        <v>196.0</v>
      </c>
      <c r="AN29" s="26">
        <v>196.0</v>
      </c>
      <c r="AO29" s="26">
        <v>193.0</v>
      </c>
      <c r="AP29" s="26">
        <v>189.0</v>
      </c>
      <c r="AQ29" s="26">
        <v>185.0</v>
      </c>
      <c r="AR29" s="26">
        <v>165.0</v>
      </c>
      <c r="AS29" s="26">
        <v>187.0</v>
      </c>
      <c r="AT29" s="26">
        <v>188.0</v>
      </c>
      <c r="AU29" s="26">
        <v>183.0</v>
      </c>
      <c r="AV29" s="26">
        <v>175.0</v>
      </c>
      <c r="AW29" s="26">
        <v>180.0</v>
      </c>
      <c r="AX29" s="26">
        <v>165.0</v>
      </c>
      <c r="AY29" s="26">
        <v>194.0</v>
      </c>
      <c r="AZ29" s="26">
        <v>173.0</v>
      </c>
      <c r="BA29" s="26">
        <v>173.0</v>
      </c>
      <c r="BB29" s="26">
        <v>155.0</v>
      </c>
      <c r="BC29" s="26">
        <v>141.0</v>
      </c>
      <c r="BD29" s="26">
        <v>137.0</v>
      </c>
      <c r="BE29" s="26">
        <v>127.0</v>
      </c>
      <c r="BF29" s="26">
        <v>142.0</v>
      </c>
      <c r="BG29" s="26">
        <v>123.0</v>
      </c>
      <c r="BH29" s="26">
        <v>119.0</v>
      </c>
      <c r="BI29" s="26">
        <v>119.0</v>
      </c>
      <c r="BJ29" s="26">
        <v>118.0</v>
      </c>
      <c r="BK29" s="26">
        <v>129.0</v>
      </c>
      <c r="BL29" s="26">
        <v>142.0</v>
      </c>
      <c r="BM29" s="26">
        <v>140.0</v>
      </c>
      <c r="BN29" s="26">
        <v>140.0</v>
      </c>
      <c r="BO29" s="26">
        <v>132.0</v>
      </c>
      <c r="BP29" s="26">
        <v>150.0</v>
      </c>
      <c r="BQ29" s="26">
        <v>145.0</v>
      </c>
      <c r="BR29" s="26">
        <v>147.0</v>
      </c>
      <c r="BS29" s="26">
        <v>143.0</v>
      </c>
      <c r="BT29" s="26">
        <v>89.0</v>
      </c>
      <c r="BU29" s="26">
        <v>85.0</v>
      </c>
      <c r="BV29" s="26">
        <v>72.0</v>
      </c>
      <c r="BW29" s="26"/>
      <c r="BX29" s="26"/>
      <c r="BY29" s="26"/>
      <c r="BZ29" s="26"/>
      <c r="CA29" s="26"/>
      <c r="CB29" s="26"/>
      <c r="CC29" s="26"/>
      <c r="CD29" s="26"/>
      <c r="CE29" s="26"/>
    </row>
    <row r="30">
      <c r="A30" s="1" t="s">
        <v>88</v>
      </c>
      <c r="B30" s="22">
        <v>158.0</v>
      </c>
      <c r="C30" s="22">
        <v>126.0</v>
      </c>
      <c r="D30" s="22">
        <v>148.0</v>
      </c>
      <c r="E30" s="22">
        <v>149.0</v>
      </c>
      <c r="F30" s="22">
        <v>124.0</v>
      </c>
      <c r="G30" s="22">
        <v>145.0</v>
      </c>
      <c r="H30" s="22">
        <v>149.0</v>
      </c>
      <c r="I30" s="22">
        <v>149.0</v>
      </c>
      <c r="J30" s="22">
        <v>153.0</v>
      </c>
      <c r="K30" s="22">
        <v>160.0</v>
      </c>
      <c r="L30" s="22">
        <v>156.0</v>
      </c>
      <c r="M30" s="22">
        <v>160.0</v>
      </c>
      <c r="N30" s="22">
        <v>158.0</v>
      </c>
      <c r="O30" s="22">
        <v>158.0</v>
      </c>
      <c r="P30" s="22">
        <v>155.0</v>
      </c>
      <c r="Q30" s="22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26">
        <v>146.0</v>
      </c>
      <c r="AM30" s="26">
        <v>142.0</v>
      </c>
      <c r="AN30" s="26">
        <v>131.0</v>
      </c>
      <c r="AO30" s="26">
        <v>133.0</v>
      </c>
      <c r="AP30" s="26">
        <v>121.0</v>
      </c>
      <c r="AQ30" s="26">
        <v>117.0</v>
      </c>
      <c r="AR30" s="26">
        <v>113.0</v>
      </c>
      <c r="AS30" s="26">
        <v>105.0</v>
      </c>
      <c r="AT30" s="26">
        <v>92.0</v>
      </c>
      <c r="AU30" s="26">
        <v>75.0</v>
      </c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  <c r="BL30" s="26"/>
      <c r="BM30" s="26"/>
      <c r="BN30" s="26"/>
      <c r="BO30" s="26"/>
      <c r="BP30" s="26"/>
      <c r="BQ30" s="26"/>
      <c r="BR30" s="26"/>
      <c r="BS30" s="26"/>
      <c r="BT30" s="26"/>
      <c r="BU30" s="26"/>
      <c r="BV30" s="26"/>
      <c r="BW30" s="26"/>
      <c r="BX30" s="26"/>
      <c r="BY30" s="26"/>
      <c r="BZ30" s="26"/>
      <c r="CA30" s="26"/>
      <c r="CB30" s="26"/>
      <c r="CC30" s="26"/>
      <c r="CD30" s="26"/>
      <c r="CE30" s="26"/>
    </row>
    <row r="31">
      <c r="A31" s="1" t="s">
        <v>89</v>
      </c>
      <c r="B31" s="36"/>
      <c r="F31" s="7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26">
        <v>117.0</v>
      </c>
      <c r="AM31" s="26">
        <v>100.0</v>
      </c>
      <c r="AN31" s="26">
        <v>106.0</v>
      </c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26"/>
      <c r="BJ31" s="26"/>
      <c r="BK31" s="26"/>
      <c r="BL31" s="26"/>
      <c r="BM31" s="26"/>
      <c r="BN31" s="26"/>
      <c r="BO31" s="26"/>
      <c r="BP31" s="26"/>
      <c r="BQ31" s="26"/>
      <c r="BR31" s="26"/>
      <c r="BS31" s="26"/>
      <c r="BT31" s="26"/>
      <c r="BU31" s="26"/>
      <c r="BV31" s="26"/>
      <c r="BW31" s="26"/>
      <c r="BX31" s="26"/>
      <c r="BY31" s="26"/>
      <c r="BZ31" s="26"/>
      <c r="CA31" s="26"/>
      <c r="CB31" s="26"/>
      <c r="CC31" s="26"/>
      <c r="CD31" s="26"/>
      <c r="CE31" s="26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27">
        <v>50.0</v>
      </c>
      <c r="O32" s="27">
        <v>50.0</v>
      </c>
      <c r="P32" s="27">
        <v>50.0</v>
      </c>
      <c r="Q32" s="27">
        <v>49.0</v>
      </c>
      <c r="R32" s="27">
        <v>51.0</v>
      </c>
      <c r="S32" s="27">
        <v>50.0</v>
      </c>
      <c r="T32" s="27">
        <v>47.0</v>
      </c>
      <c r="U32" s="27">
        <v>50.0</v>
      </c>
      <c r="V32" s="27">
        <v>50.0</v>
      </c>
      <c r="W32" s="27">
        <v>50.0</v>
      </c>
      <c r="X32" s="27">
        <v>49.0</v>
      </c>
      <c r="Y32" s="27">
        <v>47.0</v>
      </c>
      <c r="Z32" s="27">
        <v>47.0</v>
      </c>
      <c r="AA32" s="27">
        <v>47.0</v>
      </c>
      <c r="AB32" s="27">
        <v>51.0</v>
      </c>
      <c r="AC32" s="27">
        <v>50.0</v>
      </c>
      <c r="AD32" s="27">
        <v>49.0</v>
      </c>
      <c r="AE32" s="27">
        <v>49.0</v>
      </c>
      <c r="AF32" s="27">
        <v>50.0</v>
      </c>
      <c r="AG32" s="27">
        <v>49.0</v>
      </c>
      <c r="AH32" s="22">
        <v>48.0</v>
      </c>
      <c r="AI32" s="1">
        <v>48.0</v>
      </c>
      <c r="AJ32" s="1">
        <v>48.0</v>
      </c>
      <c r="AK32" s="1">
        <v>35.0</v>
      </c>
      <c r="AL32" s="26">
        <v>33.0</v>
      </c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6"/>
      <c r="BL32" s="26"/>
      <c r="BM32" s="26"/>
      <c r="BN32" s="26"/>
      <c r="BO32" s="26"/>
      <c r="BP32" s="26"/>
      <c r="BQ32" s="26"/>
      <c r="BR32" s="26"/>
      <c r="BS32" s="26"/>
      <c r="BT32" s="26"/>
      <c r="BU32" s="26"/>
      <c r="BV32" s="26"/>
      <c r="BW32" s="26"/>
      <c r="BX32" s="26"/>
      <c r="BY32" s="26"/>
      <c r="BZ32" s="26"/>
      <c r="CA32" s="26"/>
      <c r="CB32" s="26"/>
      <c r="CC32" s="26"/>
      <c r="CD32" s="26"/>
      <c r="CE32" s="26"/>
    </row>
    <row r="33">
      <c r="A33" s="1" t="s">
        <v>91</v>
      </c>
      <c r="B33" s="22">
        <v>92.0</v>
      </c>
      <c r="C33" s="22">
        <v>102.0</v>
      </c>
      <c r="D33" s="22">
        <v>125.0</v>
      </c>
      <c r="E33" s="22">
        <v>126.0</v>
      </c>
      <c r="F33" s="22">
        <v>144.0</v>
      </c>
      <c r="G33" s="22">
        <v>181.0</v>
      </c>
      <c r="H33" s="22">
        <v>176.0</v>
      </c>
      <c r="I33" s="22">
        <v>179.0</v>
      </c>
      <c r="J33" s="22">
        <v>178.0</v>
      </c>
      <c r="K33" s="22">
        <v>174.0</v>
      </c>
      <c r="L33" s="22">
        <v>179.0</v>
      </c>
      <c r="M33" s="22">
        <v>174.0</v>
      </c>
      <c r="N33" s="22">
        <v>176.0</v>
      </c>
      <c r="O33" s="22">
        <v>178.0</v>
      </c>
      <c r="P33" s="22">
        <v>178.0</v>
      </c>
      <c r="Q33" s="22">
        <v>179.0</v>
      </c>
      <c r="R33" s="22">
        <v>181.0</v>
      </c>
      <c r="S33" s="22">
        <v>170.0</v>
      </c>
      <c r="T33" s="22">
        <v>169.0</v>
      </c>
      <c r="U33" s="22">
        <v>182.0</v>
      </c>
      <c r="V33" s="22">
        <v>176.0</v>
      </c>
      <c r="W33" s="22">
        <v>167.0</v>
      </c>
      <c r="X33" s="22">
        <v>174.0</v>
      </c>
      <c r="Y33" s="22">
        <v>175.0</v>
      </c>
      <c r="Z33" s="22">
        <v>170.0</v>
      </c>
      <c r="AA33" s="22">
        <v>178.0</v>
      </c>
      <c r="AB33" s="22">
        <v>177.0</v>
      </c>
      <c r="AC33" s="22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26">
        <v>149.0</v>
      </c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6"/>
      <c r="BI33" s="26"/>
      <c r="BJ33" s="26"/>
      <c r="BK33" s="26"/>
      <c r="BL33" s="26"/>
      <c r="BM33" s="26"/>
      <c r="BN33" s="26"/>
      <c r="BO33" s="26"/>
      <c r="BP33" s="26"/>
      <c r="BQ33" s="26"/>
      <c r="BR33" s="26"/>
      <c r="BS33" s="26"/>
      <c r="BT33" s="26"/>
      <c r="BU33" s="26"/>
      <c r="BV33" s="26"/>
      <c r="BW33" s="26"/>
      <c r="BX33" s="26"/>
      <c r="BY33" s="26"/>
      <c r="BZ33" s="26"/>
      <c r="CA33" s="26"/>
      <c r="CB33" s="26"/>
      <c r="CC33" s="26"/>
      <c r="CD33" s="26"/>
      <c r="CE33" s="26"/>
    </row>
    <row r="34">
      <c r="A34" s="1" t="s">
        <v>92</v>
      </c>
      <c r="B34" s="22"/>
      <c r="J34" s="22"/>
      <c r="O34" s="27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26">
        <v>128.0</v>
      </c>
      <c r="AM34" s="26">
        <v>115.0</v>
      </c>
      <c r="AN34" s="26">
        <v>106.0</v>
      </c>
      <c r="AO34" s="26">
        <v>98.0</v>
      </c>
      <c r="AP34" s="26">
        <v>187.0</v>
      </c>
      <c r="AQ34" s="26">
        <v>167.0</v>
      </c>
      <c r="AR34" s="26">
        <v>167.0</v>
      </c>
      <c r="AS34" s="26">
        <v>162.0</v>
      </c>
      <c r="AT34" s="26">
        <v>144.0</v>
      </c>
      <c r="AU34" s="26">
        <v>141.0</v>
      </c>
      <c r="AV34" s="26">
        <v>130.0</v>
      </c>
      <c r="AW34" s="26">
        <v>129.0</v>
      </c>
      <c r="AX34" s="26">
        <v>131.0</v>
      </c>
      <c r="AY34" s="26">
        <v>133.0</v>
      </c>
      <c r="AZ34" s="26">
        <v>133.0</v>
      </c>
      <c r="BA34" s="26">
        <v>119.0</v>
      </c>
      <c r="BB34" s="26">
        <v>121.0</v>
      </c>
      <c r="BC34" s="26">
        <v>106.0</v>
      </c>
      <c r="BD34" s="26">
        <v>98.0</v>
      </c>
      <c r="BE34" s="26">
        <v>97.0</v>
      </c>
      <c r="BF34" s="26">
        <v>88.0</v>
      </c>
      <c r="BG34" s="26">
        <v>80.0</v>
      </c>
      <c r="BH34" s="26">
        <v>81.0</v>
      </c>
      <c r="BI34" s="26">
        <v>73.0</v>
      </c>
      <c r="BJ34" s="26">
        <v>82.0</v>
      </c>
      <c r="BK34" s="26">
        <v>125.0</v>
      </c>
      <c r="BL34" s="26">
        <v>144.0</v>
      </c>
      <c r="BM34" s="26">
        <v>133.0</v>
      </c>
      <c r="BN34" s="26">
        <v>136.0</v>
      </c>
      <c r="BO34" s="26">
        <v>174.0</v>
      </c>
      <c r="BP34" s="26">
        <v>169.0</v>
      </c>
      <c r="BQ34" s="26">
        <v>176.0</v>
      </c>
      <c r="BR34" s="26">
        <v>169.0</v>
      </c>
      <c r="BS34" s="26">
        <v>165.0</v>
      </c>
      <c r="BT34" s="26">
        <v>165.0</v>
      </c>
      <c r="BU34" s="26">
        <v>157.0</v>
      </c>
      <c r="BV34" s="26">
        <v>159.0</v>
      </c>
      <c r="BW34" s="26">
        <v>147.0</v>
      </c>
      <c r="BX34" s="26">
        <v>137.0</v>
      </c>
      <c r="BY34" s="26">
        <v>122.0</v>
      </c>
      <c r="BZ34" s="26"/>
      <c r="CA34" s="26"/>
      <c r="CB34" s="26"/>
      <c r="CC34" s="26"/>
      <c r="CD34" s="26"/>
      <c r="CE34" s="26"/>
    </row>
    <row r="35">
      <c r="A35" s="1" t="s">
        <v>93</v>
      </c>
      <c r="B35" s="22"/>
      <c r="J35" s="22"/>
      <c r="O35" s="27"/>
      <c r="Q35" s="27">
        <v>100.0</v>
      </c>
      <c r="R35" s="27">
        <v>650.0</v>
      </c>
      <c r="S35" s="27">
        <v>647.0</v>
      </c>
      <c r="T35" s="27">
        <v>881.0</v>
      </c>
      <c r="U35" s="27">
        <v>890.0</v>
      </c>
      <c r="V35" s="27">
        <v>895.0</v>
      </c>
      <c r="W35" s="27">
        <v>882.0</v>
      </c>
      <c r="X35" s="27">
        <v>1127.0</v>
      </c>
      <c r="Y35" s="27">
        <v>1127.0</v>
      </c>
      <c r="Z35" s="27">
        <v>1128.0</v>
      </c>
      <c r="AA35" s="27">
        <v>1135.0</v>
      </c>
      <c r="AB35" s="27">
        <v>1114.0</v>
      </c>
      <c r="AC35" s="27">
        <v>1132.0</v>
      </c>
      <c r="AD35" s="27">
        <v>1134.0</v>
      </c>
      <c r="AE35" s="27">
        <v>1126.0</v>
      </c>
      <c r="AF35" s="27">
        <v>1129.0</v>
      </c>
      <c r="AG35" s="27">
        <v>1109.0</v>
      </c>
      <c r="AH35" s="22">
        <v>1129.0</v>
      </c>
      <c r="AI35" s="1">
        <v>1128.0</v>
      </c>
      <c r="AJ35" s="1">
        <v>1068.0</v>
      </c>
      <c r="AK35" s="1">
        <v>1039.0</v>
      </c>
      <c r="AL35" s="26">
        <v>1064.0</v>
      </c>
      <c r="AM35" s="26">
        <v>1010.0</v>
      </c>
      <c r="AN35" s="26">
        <v>1006.0</v>
      </c>
      <c r="AO35" s="26">
        <v>929.0</v>
      </c>
      <c r="AP35" s="26">
        <v>858.0</v>
      </c>
      <c r="AQ35" s="26">
        <v>815.0</v>
      </c>
      <c r="AR35" s="26">
        <v>888.0</v>
      </c>
      <c r="AS35" s="26">
        <v>816.0</v>
      </c>
      <c r="AT35" s="26">
        <v>901.0</v>
      </c>
      <c r="AU35" s="26">
        <v>871.0</v>
      </c>
      <c r="AV35" s="26">
        <v>894.0</v>
      </c>
      <c r="AW35" s="26">
        <v>988.0</v>
      </c>
      <c r="AX35" s="26">
        <v>913.0</v>
      </c>
      <c r="AY35" s="26">
        <v>833.0</v>
      </c>
      <c r="AZ35" s="26">
        <v>800.0</v>
      </c>
      <c r="BA35" s="26">
        <v>806.0</v>
      </c>
      <c r="BB35" s="26">
        <v>743.0</v>
      </c>
      <c r="BC35" s="26">
        <v>711.0</v>
      </c>
      <c r="BD35" s="26">
        <v>656.0</v>
      </c>
      <c r="BE35" s="26">
        <v>553.0</v>
      </c>
      <c r="BF35" s="26">
        <v>496.0</v>
      </c>
      <c r="BG35" s="26">
        <v>437.0</v>
      </c>
      <c r="BH35" s="26">
        <v>399.0</v>
      </c>
      <c r="BI35" s="26">
        <v>399.0</v>
      </c>
      <c r="BJ35" s="26">
        <v>360.0</v>
      </c>
      <c r="BK35" s="26">
        <v>337.0</v>
      </c>
      <c r="BL35" s="26">
        <v>352.0</v>
      </c>
      <c r="BM35" s="26">
        <v>341.0</v>
      </c>
      <c r="BN35" s="26">
        <v>323.0</v>
      </c>
      <c r="BO35" s="26">
        <v>317.0</v>
      </c>
      <c r="BP35" s="26">
        <v>301.0</v>
      </c>
      <c r="BQ35" s="26">
        <v>146.0</v>
      </c>
      <c r="BR35" s="26"/>
      <c r="BS35" s="26"/>
      <c r="BT35" s="26"/>
      <c r="BU35" s="26"/>
      <c r="BV35" s="26"/>
      <c r="BW35" s="26"/>
      <c r="BX35" s="26"/>
      <c r="BY35" s="26"/>
      <c r="BZ35" s="26"/>
      <c r="CA35" s="26"/>
      <c r="CB35" s="26"/>
      <c r="CC35" s="26"/>
      <c r="CD35" s="26"/>
      <c r="CE35" s="26"/>
    </row>
    <row r="36">
      <c r="A36" s="1" t="s">
        <v>94</v>
      </c>
      <c r="B36" s="22"/>
      <c r="J36" s="22"/>
      <c r="O36" s="27"/>
      <c r="Q36" s="22">
        <v>185.0</v>
      </c>
      <c r="R36" s="22">
        <v>184.0</v>
      </c>
      <c r="S36" s="22">
        <v>186.0</v>
      </c>
      <c r="T36" s="22">
        <v>185.0</v>
      </c>
      <c r="U36" s="22">
        <v>178.0</v>
      </c>
      <c r="V36" s="22">
        <v>186.0</v>
      </c>
      <c r="W36" s="22">
        <v>185.0</v>
      </c>
      <c r="X36" s="22">
        <v>182.0</v>
      </c>
      <c r="Y36" s="22">
        <v>182.0</v>
      </c>
      <c r="Z36" s="22">
        <v>183.0</v>
      </c>
      <c r="AA36" s="22">
        <v>185.0</v>
      </c>
      <c r="AB36" s="22">
        <v>186.0</v>
      </c>
      <c r="AC36" s="22">
        <v>185.0</v>
      </c>
      <c r="AD36" s="22">
        <v>186.0</v>
      </c>
      <c r="AE36" s="22">
        <v>186.0</v>
      </c>
      <c r="AF36" s="22">
        <v>186.0</v>
      </c>
      <c r="AG36" s="22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26">
        <v>184.0</v>
      </c>
      <c r="AM36" s="26">
        <v>176.0</v>
      </c>
      <c r="AN36" s="26">
        <v>170.0</v>
      </c>
      <c r="AO36" s="26">
        <v>158.0</v>
      </c>
      <c r="AP36" s="26">
        <v>158.0</v>
      </c>
      <c r="AQ36" s="26">
        <v>151.0</v>
      </c>
      <c r="AR36" s="26">
        <v>137.0</v>
      </c>
      <c r="AS36" s="26">
        <v>125.0</v>
      </c>
      <c r="AT36" s="26">
        <v>110.0</v>
      </c>
      <c r="AU36" s="26">
        <v>114.0</v>
      </c>
      <c r="AV36" s="26">
        <v>84.0</v>
      </c>
      <c r="AW36" s="26">
        <v>69.0</v>
      </c>
      <c r="AX36" s="26">
        <v>106.0</v>
      </c>
      <c r="AY36" s="26">
        <v>107.0</v>
      </c>
      <c r="AZ36" s="26">
        <v>105.0</v>
      </c>
      <c r="BA36" s="26">
        <v>109.0</v>
      </c>
      <c r="BB36" s="26">
        <v>95.0</v>
      </c>
      <c r="BC36" s="26">
        <v>115.0</v>
      </c>
      <c r="BD36" s="26">
        <v>119.0</v>
      </c>
      <c r="BE36" s="26">
        <v>121.0</v>
      </c>
      <c r="BF36" s="26">
        <v>113.0</v>
      </c>
      <c r="BG36" s="26">
        <v>151.0</v>
      </c>
      <c r="BH36" s="26">
        <v>147.0</v>
      </c>
      <c r="BI36" s="26">
        <v>153.0</v>
      </c>
      <c r="BJ36" s="26">
        <v>147.0</v>
      </c>
      <c r="BK36" s="26">
        <v>177.0</v>
      </c>
      <c r="BL36" s="26">
        <v>183.0</v>
      </c>
      <c r="BM36" s="26">
        <v>176.0</v>
      </c>
      <c r="BN36" s="26">
        <v>177.0</v>
      </c>
      <c r="BO36" s="26">
        <v>184.0</v>
      </c>
      <c r="BP36" s="26">
        <v>177.0</v>
      </c>
      <c r="BQ36" s="26">
        <v>181.0</v>
      </c>
      <c r="BR36" s="26">
        <v>176.0</v>
      </c>
      <c r="BS36" s="26">
        <v>178.0</v>
      </c>
      <c r="BT36" s="26">
        <v>178.0</v>
      </c>
      <c r="BU36" s="26">
        <v>174.0</v>
      </c>
      <c r="BV36" s="26">
        <v>181.0</v>
      </c>
      <c r="BW36" s="26">
        <v>184.0</v>
      </c>
      <c r="BX36" s="26">
        <v>174.0</v>
      </c>
      <c r="BY36" s="26">
        <v>163.0</v>
      </c>
      <c r="BZ36" s="26">
        <v>150.0</v>
      </c>
      <c r="CA36" s="26">
        <v>108.0</v>
      </c>
      <c r="CB36" s="26"/>
      <c r="CC36" s="26"/>
      <c r="CD36" s="26"/>
      <c r="CE36" s="26"/>
    </row>
    <row r="37">
      <c r="A37" s="1" t="s">
        <v>95</v>
      </c>
      <c r="B37" s="22">
        <v>195.0</v>
      </c>
      <c r="C37" s="22">
        <v>197.0</v>
      </c>
      <c r="D37" s="22">
        <v>200.0</v>
      </c>
      <c r="E37" s="22">
        <v>197.0</v>
      </c>
      <c r="F37" s="22">
        <v>200.0</v>
      </c>
      <c r="G37" s="22">
        <v>192.0</v>
      </c>
      <c r="H37" s="22">
        <v>196.0</v>
      </c>
      <c r="I37" s="22">
        <v>198.0</v>
      </c>
      <c r="J37" s="22">
        <v>198.0</v>
      </c>
      <c r="K37" s="22">
        <v>198.0</v>
      </c>
      <c r="L37" s="22">
        <v>195.0</v>
      </c>
      <c r="M37" s="22">
        <v>200.0</v>
      </c>
      <c r="N37" s="22">
        <v>200.0</v>
      </c>
      <c r="O37" s="22">
        <v>197.0</v>
      </c>
      <c r="P37" s="22">
        <v>200.0</v>
      </c>
      <c r="Q37" s="22">
        <v>195.0</v>
      </c>
      <c r="R37" s="22">
        <v>200.0</v>
      </c>
      <c r="S37" s="22">
        <v>198.0</v>
      </c>
      <c r="T37" s="22">
        <v>197.0</v>
      </c>
      <c r="U37" s="22">
        <v>200.0</v>
      </c>
      <c r="V37" s="22">
        <v>200.0</v>
      </c>
      <c r="W37" s="22">
        <v>202.0</v>
      </c>
      <c r="X37" s="22">
        <v>197.0</v>
      </c>
      <c r="Y37" s="22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26">
        <v>141.0</v>
      </c>
      <c r="AM37" s="26">
        <v>146.0</v>
      </c>
      <c r="AN37" s="26">
        <v>140.0</v>
      </c>
      <c r="AO37" s="26">
        <v>138.0</v>
      </c>
      <c r="AP37" s="26">
        <v>142.0</v>
      </c>
      <c r="AQ37" s="26">
        <v>142.0</v>
      </c>
      <c r="AR37" s="26">
        <v>138.0</v>
      </c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  <c r="BG37" s="26"/>
      <c r="BH37" s="26"/>
      <c r="BI37" s="26"/>
      <c r="BJ37" s="26"/>
      <c r="BK37" s="26"/>
      <c r="BL37" s="26"/>
      <c r="BM37" s="26"/>
      <c r="BN37" s="26"/>
      <c r="BO37" s="26"/>
      <c r="BP37" s="26"/>
      <c r="BQ37" s="26"/>
      <c r="BR37" s="26"/>
      <c r="BS37" s="26"/>
      <c r="BT37" s="26"/>
      <c r="BU37" s="26"/>
      <c r="BV37" s="26"/>
      <c r="BW37" s="26"/>
      <c r="BX37" s="26"/>
      <c r="BY37" s="26"/>
      <c r="BZ37" s="26"/>
      <c r="CA37" s="26"/>
      <c r="CB37" s="26"/>
      <c r="CC37" s="26"/>
      <c r="CD37" s="26"/>
      <c r="CE37" s="26"/>
    </row>
    <row r="38">
      <c r="A38" s="1" t="s">
        <v>96</v>
      </c>
      <c r="B38" s="22">
        <v>92.0</v>
      </c>
      <c r="C38" s="22">
        <v>90.0</v>
      </c>
      <c r="J38" s="22"/>
      <c r="O38" s="27"/>
      <c r="Q38" s="22"/>
      <c r="AL38" s="34"/>
      <c r="AM38" s="34"/>
      <c r="AN38" s="34"/>
      <c r="AO38" s="34"/>
      <c r="AP38" s="34"/>
      <c r="AQ38" s="34"/>
      <c r="AR38" s="34"/>
      <c r="AS38" s="34"/>
      <c r="AT38" s="34"/>
      <c r="AU38" s="34"/>
      <c r="AV38" s="34"/>
      <c r="AW38" s="34"/>
      <c r="AX38" s="34"/>
      <c r="AY38" s="34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  <c r="CE38" s="34"/>
    </row>
    <row r="39">
      <c r="A39" s="1" t="s">
        <v>97</v>
      </c>
      <c r="B39" s="22">
        <v>1026.0</v>
      </c>
      <c r="C39" s="22">
        <v>1033.0</v>
      </c>
      <c r="D39" s="22">
        <v>1084.0</v>
      </c>
      <c r="E39" s="22">
        <v>1147.0</v>
      </c>
      <c r="F39" s="22">
        <v>1167.0</v>
      </c>
      <c r="G39" s="22">
        <v>1182.0</v>
      </c>
      <c r="H39" s="22">
        <v>1169.0</v>
      </c>
      <c r="I39" s="22">
        <v>1179.0</v>
      </c>
      <c r="J39" s="22">
        <v>1185.0</v>
      </c>
      <c r="K39" s="22">
        <v>1182.0</v>
      </c>
      <c r="L39" s="22">
        <v>1190.0</v>
      </c>
      <c r="M39" s="22">
        <v>1187.0</v>
      </c>
      <c r="N39" s="22">
        <v>1176.0</v>
      </c>
      <c r="O39" s="22">
        <v>1179.0</v>
      </c>
      <c r="P39" s="22">
        <v>1170.0</v>
      </c>
      <c r="Q39" s="22">
        <v>1191.0</v>
      </c>
      <c r="R39" s="22">
        <v>1172.0</v>
      </c>
      <c r="S39" s="22">
        <v>1191.0</v>
      </c>
      <c r="T39" s="22">
        <v>1190.0</v>
      </c>
      <c r="U39" s="22">
        <v>1167.0</v>
      </c>
      <c r="V39" s="22">
        <v>1192.0</v>
      </c>
      <c r="W39" s="22">
        <v>1196.0</v>
      </c>
      <c r="X39" s="22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26">
        <v>1106.0</v>
      </c>
      <c r="AM39" s="26">
        <v>1087.0</v>
      </c>
      <c r="AN39" s="26">
        <v>1076.0</v>
      </c>
      <c r="AO39" s="26">
        <v>1019.0</v>
      </c>
      <c r="AP39" s="26">
        <v>981.0</v>
      </c>
      <c r="AQ39" s="26">
        <v>902.0</v>
      </c>
      <c r="AR39" s="26">
        <v>897.0</v>
      </c>
      <c r="AS39" s="26">
        <v>926.0</v>
      </c>
      <c r="AT39" s="26">
        <v>945.0</v>
      </c>
      <c r="AU39" s="26">
        <v>897.0</v>
      </c>
      <c r="AV39" s="26">
        <v>930.0</v>
      </c>
      <c r="AW39" s="26">
        <v>816.0</v>
      </c>
      <c r="AX39" s="26">
        <v>873.0</v>
      </c>
      <c r="AY39" s="26">
        <v>918.0</v>
      </c>
      <c r="AZ39" s="26">
        <v>901.0</v>
      </c>
      <c r="BA39" s="26">
        <v>828.0</v>
      </c>
      <c r="BB39" s="26">
        <v>633.0</v>
      </c>
      <c r="BC39" s="26">
        <v>507.0</v>
      </c>
      <c r="BD39" s="26">
        <v>413.0</v>
      </c>
      <c r="BE39" s="26">
        <v>322.0</v>
      </c>
      <c r="BF39" s="26">
        <v>303.0</v>
      </c>
      <c r="BG39" s="26">
        <v>313.0</v>
      </c>
      <c r="BH39" s="26">
        <v>298.0</v>
      </c>
      <c r="BI39" s="26">
        <v>273.0</v>
      </c>
      <c r="BJ39" s="26">
        <v>259.0</v>
      </c>
      <c r="BK39" s="26">
        <v>255.0</v>
      </c>
      <c r="BL39" s="26">
        <v>251.0</v>
      </c>
      <c r="BM39" s="26">
        <v>245.0</v>
      </c>
      <c r="BN39" s="26">
        <v>234.0</v>
      </c>
      <c r="BO39" s="26">
        <v>216.0</v>
      </c>
      <c r="BP39" s="26">
        <v>228.0</v>
      </c>
      <c r="BQ39" s="26">
        <v>220.0</v>
      </c>
      <c r="BR39" s="26">
        <v>210.0</v>
      </c>
      <c r="BS39" s="26">
        <v>201.0</v>
      </c>
      <c r="BT39" s="26">
        <v>50.0</v>
      </c>
      <c r="BU39" s="26"/>
      <c r="BV39" s="26"/>
      <c r="BW39" s="26"/>
      <c r="BX39" s="26"/>
      <c r="BY39" s="26"/>
      <c r="BZ39" s="26"/>
      <c r="CA39" s="26"/>
      <c r="CB39" s="26"/>
      <c r="CC39" s="26"/>
      <c r="CD39" s="26"/>
      <c r="CE39" s="26"/>
    </row>
    <row r="40">
      <c r="A40" s="1" t="s">
        <v>98</v>
      </c>
      <c r="B40" s="22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26">
        <v>180.0</v>
      </c>
      <c r="AM40" s="26">
        <v>232.0</v>
      </c>
      <c r="AN40" s="26">
        <v>227.0</v>
      </c>
      <c r="AO40" s="26">
        <v>233.0</v>
      </c>
      <c r="AP40" s="26">
        <v>233.0</v>
      </c>
      <c r="AQ40" s="26">
        <v>228.0</v>
      </c>
      <c r="AR40" s="26">
        <v>221.0</v>
      </c>
      <c r="AS40" s="26">
        <v>223.0</v>
      </c>
      <c r="AT40" s="26">
        <v>214.0</v>
      </c>
      <c r="AU40" s="26">
        <v>221.0</v>
      </c>
      <c r="AV40" s="26">
        <v>225.0</v>
      </c>
      <c r="AW40" s="26">
        <v>216.0</v>
      </c>
      <c r="AX40" s="26">
        <v>216.0</v>
      </c>
      <c r="AY40" s="26">
        <v>207.0</v>
      </c>
      <c r="AZ40" s="26">
        <v>186.0</v>
      </c>
      <c r="BA40" s="26">
        <v>175.0</v>
      </c>
      <c r="BB40" s="26">
        <v>178.0</v>
      </c>
      <c r="BC40" s="26">
        <v>160.0</v>
      </c>
      <c r="BD40" s="26">
        <v>156.0</v>
      </c>
      <c r="BE40" s="26">
        <v>153.0</v>
      </c>
      <c r="BF40" s="26">
        <v>154.0</v>
      </c>
      <c r="BG40" s="26">
        <v>145.0</v>
      </c>
      <c r="BH40" s="26">
        <v>137.0</v>
      </c>
      <c r="BI40" s="26">
        <v>140.0</v>
      </c>
      <c r="BJ40" s="26">
        <v>141.0</v>
      </c>
      <c r="BK40" s="26">
        <v>151.0</v>
      </c>
      <c r="BL40" s="26">
        <v>158.0</v>
      </c>
      <c r="BM40" s="26">
        <v>149.0</v>
      </c>
      <c r="BN40" s="26">
        <v>140.0</v>
      </c>
      <c r="BO40" s="26">
        <v>137.0</v>
      </c>
      <c r="BP40" s="26">
        <v>140.0</v>
      </c>
      <c r="BQ40" s="26">
        <v>226.0</v>
      </c>
      <c r="BR40" s="26">
        <v>218.0</v>
      </c>
      <c r="BS40" s="26">
        <v>222.0</v>
      </c>
      <c r="BT40" s="26">
        <v>223.0</v>
      </c>
      <c r="BU40" s="26">
        <v>215.0</v>
      </c>
      <c r="BV40" s="26">
        <v>226.0</v>
      </c>
      <c r="BW40" s="26">
        <v>226.0</v>
      </c>
      <c r="BX40" s="26">
        <v>198.0</v>
      </c>
      <c r="BY40" s="39" t="s">
        <v>99</v>
      </c>
      <c r="BZ40" s="26">
        <v>54.0</v>
      </c>
      <c r="CA40" s="26"/>
      <c r="CB40" s="26"/>
      <c r="CC40" s="26"/>
      <c r="CD40" s="26"/>
      <c r="CE40" s="26"/>
    </row>
    <row r="41">
      <c r="A41" s="1" t="s">
        <v>100</v>
      </c>
      <c r="B41" s="22">
        <v>596.0</v>
      </c>
      <c r="C41" s="22">
        <v>598.0</v>
      </c>
      <c r="D41" s="22">
        <v>588.0</v>
      </c>
      <c r="E41" s="22">
        <v>591.0</v>
      </c>
      <c r="F41" s="22">
        <v>568.0</v>
      </c>
      <c r="G41" s="22">
        <v>570.0</v>
      </c>
      <c r="H41" s="22">
        <v>584.0</v>
      </c>
      <c r="I41" s="22">
        <v>581.0</v>
      </c>
      <c r="J41" s="22">
        <v>586.0</v>
      </c>
      <c r="K41" s="22">
        <v>595.0</v>
      </c>
      <c r="L41" s="22">
        <v>593.0</v>
      </c>
      <c r="M41" s="22">
        <v>607.0</v>
      </c>
      <c r="N41" s="22">
        <v>623.0</v>
      </c>
      <c r="O41" s="22">
        <v>611.0</v>
      </c>
      <c r="P41" s="22">
        <v>619.0</v>
      </c>
      <c r="Q41" s="22">
        <v>623.0</v>
      </c>
      <c r="R41" s="22">
        <v>626.0</v>
      </c>
      <c r="S41" s="22">
        <v>611.0</v>
      </c>
      <c r="T41" s="22">
        <v>616.0</v>
      </c>
      <c r="U41" s="22">
        <v>621.0</v>
      </c>
      <c r="V41" s="22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26">
        <v>601.0</v>
      </c>
      <c r="AM41" s="26">
        <v>584.0</v>
      </c>
      <c r="AN41" s="26">
        <v>578.0</v>
      </c>
      <c r="AO41" s="26">
        <v>548.0</v>
      </c>
      <c r="AP41" s="26">
        <v>531.0</v>
      </c>
      <c r="AQ41" s="26">
        <v>534.0</v>
      </c>
      <c r="AR41" s="26">
        <v>499.0</v>
      </c>
      <c r="AS41" s="26">
        <v>528.0</v>
      </c>
      <c r="AT41" s="26">
        <v>577.0</v>
      </c>
      <c r="AU41" s="26">
        <v>572.0</v>
      </c>
      <c r="AV41" s="26">
        <v>545.0</v>
      </c>
      <c r="AW41" s="26">
        <v>503.0</v>
      </c>
      <c r="AX41" s="26">
        <v>84.0</v>
      </c>
      <c r="AY41" s="26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26"/>
      <c r="BM41" s="26"/>
      <c r="BN41" s="26"/>
      <c r="BO41" s="26"/>
      <c r="BP41" s="26"/>
      <c r="BQ41" s="26"/>
      <c r="BR41" s="26"/>
      <c r="BS41" s="26"/>
      <c r="BT41" s="26"/>
      <c r="BU41" s="26"/>
      <c r="BV41" s="26"/>
      <c r="BW41" s="26"/>
      <c r="BX41" s="26"/>
      <c r="BY41" s="26"/>
      <c r="BZ41" s="26"/>
      <c r="CA41" s="26"/>
      <c r="CB41" s="26"/>
      <c r="CC41" s="26"/>
      <c r="CD41" s="26"/>
      <c r="CE41" s="26"/>
    </row>
    <row r="42">
      <c r="A42" s="1" t="s">
        <v>101</v>
      </c>
      <c r="B42" s="22"/>
      <c r="O42" s="27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27">
        <v>881.0</v>
      </c>
      <c r="AD42" s="27">
        <v>877.0</v>
      </c>
      <c r="AE42" s="27">
        <v>880.0</v>
      </c>
      <c r="AF42" s="27">
        <v>879.0</v>
      </c>
      <c r="AG42" s="27">
        <v>878.0</v>
      </c>
      <c r="AH42" s="22">
        <v>856.0</v>
      </c>
      <c r="AI42" s="1">
        <v>843.0</v>
      </c>
      <c r="AJ42" s="1">
        <v>860.0</v>
      </c>
      <c r="AK42" s="1">
        <v>854.0</v>
      </c>
      <c r="AL42" s="26">
        <v>829.0</v>
      </c>
      <c r="AM42" s="26">
        <v>839.0</v>
      </c>
      <c r="AN42" s="26">
        <v>824.0</v>
      </c>
      <c r="AO42" s="26">
        <v>758.0</v>
      </c>
      <c r="AP42" s="26">
        <v>635.0</v>
      </c>
      <c r="AQ42" s="26">
        <v>566.0</v>
      </c>
      <c r="AR42" s="26">
        <v>527.0</v>
      </c>
      <c r="AS42" s="26">
        <v>732.0</v>
      </c>
      <c r="AT42" s="26">
        <v>760.0</v>
      </c>
      <c r="AU42" s="26">
        <v>717.0</v>
      </c>
      <c r="AV42" s="26">
        <v>689.0</v>
      </c>
      <c r="AW42" s="26">
        <v>791.0</v>
      </c>
      <c r="AX42" s="26">
        <v>768.0</v>
      </c>
      <c r="AY42" s="26">
        <v>754.0</v>
      </c>
      <c r="AZ42" s="26">
        <v>708.0</v>
      </c>
      <c r="BA42" s="26">
        <v>699.0</v>
      </c>
      <c r="BB42" s="26">
        <v>654.0</v>
      </c>
      <c r="BC42" s="26">
        <v>617.0</v>
      </c>
      <c r="BD42" s="26">
        <v>596.0</v>
      </c>
      <c r="BE42" s="26">
        <v>320.0</v>
      </c>
      <c r="BF42" s="26">
        <v>528.0</v>
      </c>
      <c r="BG42" s="26">
        <v>489.0</v>
      </c>
      <c r="BH42" s="26">
        <v>470.0</v>
      </c>
      <c r="BI42" s="26">
        <v>453.0</v>
      </c>
      <c r="BJ42" s="26">
        <v>437.0</v>
      </c>
      <c r="BK42" s="26">
        <v>421.0</v>
      </c>
      <c r="BL42" s="26">
        <v>394.0</v>
      </c>
      <c r="BM42" s="26">
        <v>388.0</v>
      </c>
      <c r="BN42" s="26">
        <v>376.0</v>
      </c>
      <c r="BO42" s="26">
        <v>338.0</v>
      </c>
      <c r="BP42" s="26">
        <v>291.0</v>
      </c>
      <c r="BQ42" s="26">
        <v>366.0</v>
      </c>
      <c r="BR42" s="26">
        <v>553.0</v>
      </c>
      <c r="BS42" s="26">
        <v>571.0</v>
      </c>
      <c r="BT42" s="26">
        <v>574.0</v>
      </c>
      <c r="BU42" s="26">
        <v>556.0</v>
      </c>
      <c r="BV42" s="26">
        <v>536.0</v>
      </c>
      <c r="BW42" s="26">
        <v>602.0</v>
      </c>
      <c r="BX42" s="26">
        <v>568.0</v>
      </c>
      <c r="BY42" s="26">
        <v>534.0</v>
      </c>
      <c r="BZ42" s="26">
        <v>476.0</v>
      </c>
      <c r="CA42" s="26">
        <v>0.0</v>
      </c>
      <c r="CB42" s="26"/>
      <c r="CC42" s="26"/>
      <c r="CD42" s="26"/>
      <c r="CE42" s="26"/>
    </row>
    <row r="43">
      <c r="A43" s="1" t="s">
        <v>102</v>
      </c>
      <c r="B43" s="22"/>
      <c r="O43" s="27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26">
        <v>285.0</v>
      </c>
      <c r="AM43" s="26">
        <v>281.0</v>
      </c>
      <c r="AN43" s="26">
        <v>268.0</v>
      </c>
      <c r="AO43" s="26">
        <v>247.0</v>
      </c>
      <c r="AP43" s="26">
        <v>234.0</v>
      </c>
      <c r="AQ43" s="26">
        <v>216.0</v>
      </c>
      <c r="AR43" s="26">
        <v>203.0</v>
      </c>
      <c r="AS43" s="26">
        <v>182.0</v>
      </c>
      <c r="AT43" s="26">
        <v>168.0</v>
      </c>
      <c r="AU43" s="26">
        <v>197.0</v>
      </c>
      <c r="AV43" s="26">
        <v>216.0</v>
      </c>
      <c r="AW43" s="26">
        <v>213.0</v>
      </c>
      <c r="AX43" s="26">
        <v>229.0</v>
      </c>
      <c r="AY43" s="26">
        <v>202.0</v>
      </c>
      <c r="AZ43" s="26">
        <v>192.0</v>
      </c>
      <c r="BA43" s="26">
        <v>199.0</v>
      </c>
      <c r="BB43" s="26">
        <v>226.0</v>
      </c>
      <c r="BC43" s="26">
        <v>286.0</v>
      </c>
      <c r="BD43" s="26">
        <v>260.0</v>
      </c>
      <c r="BE43" s="26">
        <v>257.0</v>
      </c>
      <c r="BF43" s="26">
        <v>290.0</v>
      </c>
      <c r="BG43" s="26">
        <v>284.0</v>
      </c>
      <c r="BH43" s="26">
        <v>277.0</v>
      </c>
      <c r="BI43" s="26">
        <v>261.0</v>
      </c>
      <c r="BJ43" s="26">
        <v>276.0</v>
      </c>
      <c r="BK43" s="26">
        <v>284.0</v>
      </c>
      <c r="BL43" s="26">
        <v>282.0</v>
      </c>
      <c r="BM43" s="26">
        <v>282.0</v>
      </c>
      <c r="BN43" s="26">
        <v>279.0</v>
      </c>
      <c r="BO43" s="26">
        <v>291.0</v>
      </c>
      <c r="BP43" s="26">
        <v>285.0</v>
      </c>
      <c r="BQ43" s="26">
        <v>292.0</v>
      </c>
      <c r="BR43" s="26">
        <v>293.0</v>
      </c>
      <c r="BS43" s="26">
        <v>291.0</v>
      </c>
      <c r="BT43" s="26">
        <v>292.0</v>
      </c>
      <c r="BU43" s="26">
        <v>288.0</v>
      </c>
      <c r="BV43" s="26">
        <v>288.0</v>
      </c>
      <c r="BW43" s="26">
        <v>288.0</v>
      </c>
      <c r="BX43" s="26">
        <v>262.0</v>
      </c>
      <c r="BY43" s="26">
        <v>230.0</v>
      </c>
      <c r="BZ43" s="26">
        <v>172.0</v>
      </c>
      <c r="CA43" s="26">
        <v>128.0</v>
      </c>
      <c r="CB43" s="26">
        <v>72.0</v>
      </c>
      <c r="CC43" s="26">
        <v>0.0</v>
      </c>
      <c r="CD43" s="26"/>
      <c r="CE43" s="26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27"/>
      <c r="Q44" s="36"/>
      <c r="AL44" s="34"/>
      <c r="AM44" s="34"/>
      <c r="AN44" s="34"/>
      <c r="AO44" s="34"/>
      <c r="AP44" s="34"/>
      <c r="AQ44" s="34"/>
      <c r="AR44" s="34"/>
      <c r="AS44" s="34"/>
      <c r="AT44" s="34"/>
      <c r="AU44" s="34"/>
      <c r="AV44" s="34"/>
      <c r="AW44" s="34"/>
      <c r="AX44" s="34"/>
      <c r="AY44" s="34"/>
      <c r="AZ44" s="34"/>
      <c r="BA44" s="34"/>
      <c r="BB44" s="34"/>
      <c r="BC44" s="34"/>
      <c r="BD44" s="34"/>
      <c r="BE44" s="34"/>
      <c r="BF44" s="34"/>
      <c r="BG44" s="34"/>
      <c r="BH44" s="34"/>
      <c r="BI44" s="34"/>
      <c r="BJ44" s="34"/>
      <c r="BK44" s="34"/>
      <c r="BL44" s="34"/>
      <c r="BM44" s="34"/>
      <c r="BN44" s="34"/>
      <c r="BO44" s="34"/>
      <c r="BP44" s="3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  <c r="CE44" s="34"/>
    </row>
    <row r="45">
      <c r="B45" s="36"/>
      <c r="Q45" s="36"/>
      <c r="AL45" s="34"/>
      <c r="AM45" s="34"/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  <c r="BB45" s="34"/>
      <c r="BC45" s="26"/>
      <c r="BD45" s="26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3"/>
      <c r="BS45" s="13"/>
      <c r="BT45" s="13"/>
      <c r="BU45" s="13"/>
      <c r="BV45" s="13"/>
      <c r="BW45" s="13"/>
      <c r="BX45" s="13"/>
      <c r="BY45" s="13"/>
      <c r="BZ45" s="13"/>
      <c r="CA45" s="13"/>
      <c r="CB45" s="13"/>
      <c r="CC45" s="13"/>
      <c r="CD45" s="13"/>
      <c r="CE45" s="13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8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4">
        <f t="shared" ref="BB46:BC46" si="7">SUM(BB10:BB45)</f>
        <v>6937</v>
      </c>
      <c r="BC46" s="34">
        <f t="shared" si="7"/>
        <v>6750</v>
      </c>
      <c r="BD46" s="13">
        <f t="shared" ref="BD46:BX46" si="8">sum(BD10:BD44)</f>
        <v>6310</v>
      </c>
      <c r="BE46" s="13">
        <f t="shared" si="8"/>
        <v>5778</v>
      </c>
      <c r="BF46" s="13">
        <f t="shared" si="8"/>
        <v>5870</v>
      </c>
      <c r="BG46" s="13">
        <f t="shared" si="8"/>
        <v>5909</v>
      </c>
      <c r="BH46" s="13">
        <f t="shared" si="8"/>
        <v>5673</v>
      </c>
      <c r="BI46" s="13">
        <f t="shared" si="8"/>
        <v>5579</v>
      </c>
      <c r="BJ46" s="13">
        <f t="shared" si="8"/>
        <v>5565</v>
      </c>
      <c r="BK46" s="13">
        <f t="shared" si="8"/>
        <v>5592</v>
      </c>
      <c r="BL46" s="13">
        <f t="shared" si="8"/>
        <v>5551</v>
      </c>
      <c r="BM46" s="13">
        <f t="shared" si="8"/>
        <v>5464</v>
      </c>
      <c r="BN46" s="13">
        <f t="shared" si="8"/>
        <v>5470</v>
      </c>
      <c r="BO46" s="13">
        <f t="shared" si="8"/>
        <v>5431</v>
      </c>
      <c r="BP46" s="13">
        <f t="shared" si="8"/>
        <v>5446</v>
      </c>
      <c r="BQ46" s="13">
        <f t="shared" si="8"/>
        <v>5354</v>
      </c>
      <c r="BR46" s="13">
        <f t="shared" si="8"/>
        <v>5298</v>
      </c>
      <c r="BS46" s="13">
        <f t="shared" si="8"/>
        <v>5283</v>
      </c>
      <c r="BT46" s="13">
        <f t="shared" si="8"/>
        <v>5104</v>
      </c>
      <c r="BU46" s="13">
        <f t="shared" si="8"/>
        <v>4989</v>
      </c>
      <c r="BV46" s="13">
        <f t="shared" si="8"/>
        <v>4954</v>
      </c>
      <c r="BW46" s="13">
        <f t="shared" si="8"/>
        <v>4945</v>
      </c>
      <c r="BX46" s="13">
        <f t="shared" si="8"/>
        <v>4606</v>
      </c>
      <c r="BY46" s="13">
        <v>4142.0</v>
      </c>
      <c r="BZ46" s="13">
        <f>sum(BZ10:BZ44)</f>
        <v>3763</v>
      </c>
      <c r="CA46" s="13">
        <v>3296.0</v>
      </c>
      <c r="CB46" s="13">
        <f t="shared" ref="CB46:CE46" si="9">sum(CB10:CB44)</f>
        <v>2861</v>
      </c>
      <c r="CC46" s="13">
        <f t="shared" si="9"/>
        <v>2480</v>
      </c>
      <c r="CD46" s="13">
        <f t="shared" si="9"/>
        <v>2394</v>
      </c>
      <c r="CE46" s="13">
        <f t="shared" si="9"/>
        <v>2443</v>
      </c>
    </row>
    <row r="47">
      <c r="A47" s="1" t="s">
        <v>107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13">
        <v>2754.0</v>
      </c>
      <c r="AY47" s="13">
        <v>2715.0</v>
      </c>
      <c r="AZ47" s="13">
        <v>2643.0</v>
      </c>
      <c r="BA47" s="13">
        <v>2558.0</v>
      </c>
      <c r="BB47" s="13">
        <v>2486.0</v>
      </c>
      <c r="BC47" s="13">
        <v>2381.0</v>
      </c>
      <c r="BD47" s="13">
        <v>2264.0</v>
      </c>
      <c r="BE47" s="13">
        <v>2131.0</v>
      </c>
      <c r="BF47" s="13">
        <v>2060.0</v>
      </c>
      <c r="BG47" s="13">
        <v>2041.0</v>
      </c>
      <c r="BH47" s="13">
        <v>2002.0</v>
      </c>
      <c r="BI47" s="13">
        <v>1966.0</v>
      </c>
      <c r="BJ47" s="13">
        <v>1971.0</v>
      </c>
      <c r="BK47" s="13">
        <v>1966.0</v>
      </c>
      <c r="BL47" s="13">
        <v>1950.0</v>
      </c>
      <c r="BM47" s="13">
        <v>1896.0</v>
      </c>
      <c r="BN47" s="13">
        <v>1883.0</v>
      </c>
      <c r="BO47" s="13">
        <v>1856.0</v>
      </c>
      <c r="BP47" s="13">
        <v>1850.0</v>
      </c>
      <c r="BQ47" s="13">
        <v>1791.0</v>
      </c>
      <c r="BR47" s="13">
        <v>1747.0</v>
      </c>
      <c r="BS47" s="13">
        <v>1759.0</v>
      </c>
      <c r="BT47" s="13">
        <v>1714.0</v>
      </c>
      <c r="BU47" s="13">
        <v>1700.0</v>
      </c>
      <c r="BV47" s="13">
        <v>1698.0</v>
      </c>
      <c r="BW47" s="13">
        <v>1706.0</v>
      </c>
      <c r="BX47" s="13">
        <v>1578.0</v>
      </c>
      <c r="BY47" s="13">
        <v>1423.0</v>
      </c>
      <c r="BZ47" s="13">
        <v>1346.0</v>
      </c>
      <c r="CA47" s="13">
        <v>1229.0</v>
      </c>
      <c r="CB47" s="13">
        <v>1160.0</v>
      </c>
      <c r="CC47" s="13">
        <v>1074.0</v>
      </c>
      <c r="CD47" s="13">
        <v>1080.0</v>
      </c>
      <c r="CE47" s="13">
        <v>1136.0</v>
      </c>
    </row>
    <row r="48">
      <c r="B48" s="36"/>
      <c r="Q48" s="36"/>
      <c r="AL48" s="34"/>
      <c r="AM48" s="34"/>
      <c r="AN48" s="34"/>
      <c r="AO48" s="34"/>
      <c r="AP48" s="34"/>
      <c r="AQ48" s="34"/>
      <c r="AR48" s="34"/>
      <c r="AS48" s="34"/>
      <c r="AT48" s="34"/>
      <c r="AU48" s="34"/>
      <c r="AV48" s="34"/>
      <c r="AW48" s="34"/>
      <c r="AX48" s="34"/>
      <c r="AY48" s="34"/>
      <c r="AZ48" s="34"/>
      <c r="BA48" s="34"/>
      <c r="BB48" s="34"/>
      <c r="BC48" s="34"/>
      <c r="BD48" s="34"/>
      <c r="BE48" s="34"/>
      <c r="BF48" s="34"/>
      <c r="BG48" s="34"/>
      <c r="BH48" s="34"/>
      <c r="BI48" s="34"/>
      <c r="BJ48" s="34"/>
      <c r="BK48" s="34"/>
      <c r="BL48" s="34"/>
      <c r="BM48" s="34"/>
      <c r="BN48" s="34"/>
      <c r="BO48" s="34"/>
      <c r="BP48" s="3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  <c r="CE48" s="34"/>
    </row>
    <row r="49">
      <c r="B49" s="36"/>
      <c r="Q49" s="27"/>
      <c r="AL49" s="34"/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  <c r="BB49" s="34"/>
      <c r="BC49" s="34"/>
      <c r="BD49" s="34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34"/>
      <c r="BP49" s="3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  <c r="CE49" s="34"/>
    </row>
    <row r="50">
      <c r="B50" s="36"/>
      <c r="Q50" s="27"/>
      <c r="AL50" s="34"/>
      <c r="AM50" s="34"/>
      <c r="AN50" s="34"/>
      <c r="AO50" s="34"/>
      <c r="AP50" s="34"/>
      <c r="AQ50" s="34"/>
      <c r="AR50" s="34"/>
      <c r="AS50" s="34"/>
      <c r="AT50" s="34"/>
      <c r="AU50" s="34"/>
      <c r="AV50" s="34"/>
      <c r="AW50" s="34"/>
      <c r="AX50" s="34"/>
      <c r="AY50" s="34"/>
      <c r="AZ50" s="34"/>
      <c r="BA50" s="34"/>
      <c r="BB50" s="34"/>
      <c r="BC50" s="34"/>
      <c r="BD50" s="34"/>
      <c r="BE50" s="34"/>
      <c r="BF50" s="34"/>
      <c r="BG50" s="34"/>
      <c r="BH50" s="34"/>
      <c r="BI50" s="34"/>
      <c r="BJ50" s="34"/>
      <c r="BK50" s="34"/>
      <c r="BL50" s="34"/>
      <c r="BM50" s="34"/>
      <c r="BN50" s="34"/>
      <c r="BO50" s="34"/>
      <c r="BP50" s="3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  <c r="CE50" s="34"/>
    </row>
    <row r="51">
      <c r="B51" s="36"/>
      <c r="Q51" s="27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  <c r="CE51" s="34"/>
    </row>
    <row r="52">
      <c r="B52" s="36"/>
      <c r="Q52" s="27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  <c r="CE52" s="34"/>
    </row>
    <row r="53">
      <c r="B53" s="36"/>
      <c r="Q53" s="27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  <c r="CE53" s="34"/>
    </row>
    <row r="54">
      <c r="B54" s="36"/>
      <c r="Q54" s="27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  <c r="CE54" s="34"/>
    </row>
    <row r="55">
      <c r="B55" s="36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  <c r="CE55" s="34"/>
    </row>
    <row r="56">
      <c r="B56" s="36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  <c r="CE56" s="34"/>
    </row>
    <row r="57">
      <c r="B57" s="27"/>
      <c r="AL57" s="34"/>
      <c r="AM57" s="34"/>
      <c r="AN57" s="34"/>
      <c r="AO57" s="34"/>
      <c r="AP57" s="34"/>
      <c r="AQ57" s="34"/>
      <c r="AR57" s="34"/>
      <c r="AS57" s="34"/>
      <c r="AT57" s="34"/>
      <c r="AU57" s="34"/>
      <c r="AV57" s="34"/>
      <c r="AW57" s="34"/>
      <c r="AX57" s="34"/>
      <c r="AY57" s="34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  <c r="CE57" s="34"/>
    </row>
    <row r="58">
      <c r="B58" s="27"/>
      <c r="AL58" s="34"/>
      <c r="AM58" s="34"/>
      <c r="AN58" s="34"/>
      <c r="AO58" s="34"/>
      <c r="AP58" s="34"/>
      <c r="AQ58" s="34"/>
      <c r="AR58" s="34"/>
      <c r="AS58" s="34"/>
      <c r="AT58" s="34"/>
      <c r="AU58" s="34"/>
      <c r="AV58" s="34"/>
      <c r="AW58" s="34"/>
      <c r="AX58" s="34"/>
      <c r="AY58" s="34"/>
      <c r="AZ58" s="34"/>
      <c r="BA58" s="34"/>
      <c r="BB58" s="34"/>
      <c r="BC58" s="34"/>
      <c r="BD58" s="34"/>
      <c r="BE58" s="34"/>
      <c r="BF58" s="34"/>
      <c r="BG58" s="34"/>
      <c r="BH58" s="34"/>
      <c r="BI58" s="34"/>
      <c r="BJ58" s="34"/>
      <c r="BK58" s="34"/>
      <c r="BL58" s="34"/>
      <c r="BM58" s="34"/>
      <c r="BN58" s="34"/>
      <c r="BO58" s="34"/>
      <c r="BP58" s="34"/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  <c r="CE58" s="34"/>
    </row>
    <row r="59">
      <c r="B59" s="27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  <c r="CE59" s="34"/>
    </row>
    <row r="60">
      <c r="B60" s="27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34"/>
      <c r="BC60" s="34"/>
      <c r="BD60" s="34"/>
      <c r="BE60" s="34"/>
      <c r="BF60" s="34"/>
      <c r="BG60" s="34"/>
      <c r="BH60" s="34"/>
      <c r="BI60" s="34"/>
      <c r="BJ60" s="34"/>
      <c r="BK60" s="34"/>
      <c r="BL60" s="34"/>
      <c r="BM60" s="34"/>
      <c r="BN60" s="34"/>
      <c r="BO60" s="34"/>
      <c r="BP60" s="34"/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  <c r="CE60" s="34"/>
    </row>
    <row r="61">
      <c r="B61" s="27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  <c r="CE61" s="34"/>
    </row>
    <row r="62">
      <c r="B62" s="27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34"/>
      <c r="BC62" s="34"/>
      <c r="BD62" s="34"/>
      <c r="BE62" s="34"/>
      <c r="BF62" s="34"/>
      <c r="BG62" s="34"/>
      <c r="BH62" s="34"/>
      <c r="BI62" s="34"/>
      <c r="BJ62" s="34"/>
      <c r="BK62" s="34"/>
      <c r="BL62" s="34"/>
      <c r="BM62" s="34"/>
      <c r="BN62" s="34"/>
      <c r="BO62" s="34"/>
      <c r="BP62" s="34"/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  <c r="CE62" s="34"/>
    </row>
    <row r="63">
      <c r="B63" s="27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  <c r="CE63" s="34"/>
    </row>
    <row r="64">
      <c r="B64" s="27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  <c r="BK64" s="34"/>
      <c r="BL64" s="34"/>
      <c r="BM64" s="34"/>
      <c r="BN64" s="34"/>
      <c r="BO64" s="34"/>
      <c r="BP64" s="34"/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  <c r="CE64" s="34"/>
    </row>
    <row r="65">
      <c r="B65" s="27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  <c r="CE65" s="34"/>
    </row>
    <row r="66">
      <c r="B66" s="27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  <c r="CE66" s="34"/>
    </row>
    <row r="67">
      <c r="B67" s="27"/>
      <c r="AL67" s="34"/>
      <c r="AM67" s="34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  <c r="BK67" s="34"/>
      <c r="BL67" s="34"/>
      <c r="BM67" s="34"/>
      <c r="BN67" s="34"/>
      <c r="BO67" s="34"/>
      <c r="BP67" s="34"/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  <c r="CE67" s="34"/>
    </row>
    <row r="68">
      <c r="B68" s="27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  <c r="BK68" s="34"/>
      <c r="BL68" s="34"/>
      <c r="BM68" s="34"/>
      <c r="BN68" s="34"/>
      <c r="BO68" s="34"/>
      <c r="BP68" s="34"/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  <c r="CE68" s="34"/>
    </row>
    <row r="69">
      <c r="B69" s="27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  <c r="CE69" s="34"/>
    </row>
    <row r="70">
      <c r="B70" s="27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  <c r="CE70" s="34"/>
    </row>
    <row r="71">
      <c r="B71" s="27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  <c r="CE71" s="34"/>
    </row>
    <row r="72"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34"/>
      <c r="BC72" s="34"/>
      <c r="BD72" s="34"/>
      <c r="BE72" s="34"/>
      <c r="BF72" s="34"/>
      <c r="BG72" s="34"/>
      <c r="BH72" s="34"/>
      <c r="BI72" s="34"/>
      <c r="BJ72" s="34"/>
      <c r="BK72" s="34"/>
      <c r="BL72" s="34"/>
      <c r="BM72" s="34"/>
      <c r="BN72" s="34"/>
      <c r="BO72" s="34"/>
      <c r="BP72" s="34"/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  <c r="CE72" s="34"/>
    </row>
    <row r="73"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  <c r="CE73" s="34"/>
    </row>
    <row r="74"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  <c r="CE74" s="34"/>
    </row>
    <row r="75"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  <c r="CE75" s="34"/>
    </row>
    <row r="76"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34"/>
      <c r="BC76" s="34"/>
      <c r="BD76" s="34"/>
      <c r="BE76" s="34"/>
      <c r="BF76" s="34"/>
      <c r="BG76" s="34"/>
      <c r="BH76" s="34"/>
      <c r="BI76" s="34"/>
      <c r="BJ76" s="34"/>
      <c r="BK76" s="34"/>
      <c r="BL76" s="34"/>
      <c r="BM76" s="34"/>
      <c r="BN76" s="34"/>
      <c r="BO76" s="34"/>
      <c r="BP76" s="34"/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  <c r="CE76" s="34"/>
    </row>
    <row r="77"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  <c r="BB77" s="34"/>
      <c r="BC77" s="34"/>
      <c r="BD77" s="34"/>
      <c r="BE77" s="34"/>
      <c r="BF77" s="34"/>
      <c r="BG77" s="34"/>
      <c r="BH77" s="34"/>
      <c r="BI77" s="34"/>
      <c r="BJ77" s="34"/>
      <c r="BK77" s="34"/>
      <c r="BL77" s="34"/>
      <c r="BM77" s="34"/>
      <c r="BN77" s="34"/>
      <c r="BO77" s="34"/>
      <c r="BP77" s="34"/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  <c r="CE77" s="34"/>
    </row>
    <row r="78"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34"/>
      <c r="BC78" s="34"/>
      <c r="BD78" s="34"/>
      <c r="BE78" s="34"/>
      <c r="BF78" s="34"/>
      <c r="BG78" s="34"/>
      <c r="BH78" s="34"/>
      <c r="BI78" s="34"/>
      <c r="BJ78" s="34"/>
      <c r="BK78" s="34"/>
      <c r="BL78" s="34"/>
      <c r="BM78" s="34"/>
      <c r="BN78" s="34"/>
      <c r="BO78" s="34"/>
      <c r="BP78" s="34"/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  <c r="CE78" s="34"/>
    </row>
    <row r="79"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  <c r="CE79" s="34"/>
    </row>
    <row r="80"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  <c r="CE80" s="34"/>
    </row>
    <row r="81">
      <c r="AL81" s="34"/>
      <c r="AM81" s="34"/>
      <c r="AN81" s="34"/>
      <c r="AO81" s="34"/>
      <c r="AP81" s="34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34"/>
      <c r="BM81" s="34"/>
      <c r="BN81" s="34"/>
      <c r="BO81" s="34"/>
      <c r="BP81" s="34"/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  <c r="CE81" s="34"/>
    </row>
    <row r="82">
      <c r="AL82" s="34"/>
      <c r="AM82" s="34"/>
      <c r="AN82" s="34"/>
      <c r="AO82" s="34"/>
      <c r="AP82" s="34"/>
      <c r="AQ82" s="34"/>
      <c r="AR82" s="34"/>
      <c r="AS82" s="34"/>
      <c r="AT82" s="34"/>
      <c r="AU82" s="34"/>
      <c r="AV82" s="34"/>
      <c r="AW82" s="34"/>
      <c r="AX82" s="34"/>
      <c r="AY82" s="34"/>
      <c r="AZ82" s="34"/>
      <c r="BA82" s="34"/>
      <c r="BB82" s="34"/>
      <c r="BC82" s="34"/>
      <c r="BD82" s="34"/>
      <c r="BE82" s="34"/>
      <c r="BF82" s="34"/>
      <c r="BG82" s="34"/>
      <c r="BH82" s="34"/>
      <c r="BI82" s="34"/>
      <c r="BJ82" s="34"/>
      <c r="BK82" s="34"/>
      <c r="BL82" s="34"/>
      <c r="BM82" s="34"/>
      <c r="BN82" s="34"/>
      <c r="BO82" s="34"/>
      <c r="BP82" s="34"/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  <c r="CE82" s="34"/>
    </row>
    <row r="83">
      <c r="AL83" s="34"/>
      <c r="AM83" s="34"/>
      <c r="AN83" s="34"/>
      <c r="AO83" s="34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34"/>
      <c r="BM83" s="34"/>
      <c r="BN83" s="34"/>
      <c r="BO83" s="34"/>
      <c r="BP83" s="34"/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  <c r="CE83" s="34"/>
    </row>
    <row r="84">
      <c r="AL84" s="34"/>
      <c r="AM84" s="34"/>
      <c r="AN84" s="34"/>
      <c r="AO84" s="34"/>
      <c r="AP84" s="34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  <c r="BB84" s="34"/>
      <c r="BC84" s="34"/>
      <c r="BD84" s="34"/>
      <c r="BE84" s="34"/>
      <c r="BF84" s="34"/>
      <c r="BG84" s="34"/>
      <c r="BH84" s="34"/>
      <c r="BI84" s="34"/>
      <c r="BJ84" s="34"/>
      <c r="BK84" s="34"/>
      <c r="BL84" s="34"/>
      <c r="BM84" s="34"/>
      <c r="BN84" s="34"/>
      <c r="BO84" s="34"/>
      <c r="BP84" s="34"/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  <c r="CE84" s="34"/>
    </row>
    <row r="85"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  <c r="BB85" s="34"/>
      <c r="BC85" s="34"/>
      <c r="BD85" s="34"/>
      <c r="BE85" s="34"/>
      <c r="BF85" s="34"/>
      <c r="BG85" s="34"/>
      <c r="BH85" s="34"/>
      <c r="BI85" s="34"/>
      <c r="BJ85" s="34"/>
      <c r="BK85" s="34"/>
      <c r="BL85" s="34"/>
      <c r="BM85" s="34"/>
      <c r="BN85" s="34"/>
      <c r="BO85" s="34"/>
      <c r="BP85" s="34"/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  <c r="CE85" s="34"/>
    </row>
    <row r="86"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/>
      <c r="AW86" s="34"/>
      <c r="AX86" s="34"/>
      <c r="AY86" s="34"/>
      <c r="AZ86" s="34"/>
      <c r="BA86" s="34"/>
      <c r="BB86" s="34"/>
      <c r="BC86" s="34"/>
      <c r="BD86" s="34"/>
      <c r="BE86" s="34"/>
      <c r="BF86" s="34"/>
      <c r="BG86" s="34"/>
      <c r="BH86" s="34"/>
      <c r="BI86" s="34"/>
      <c r="BJ86" s="34"/>
      <c r="BK86" s="34"/>
      <c r="BL86" s="34"/>
      <c r="BM86" s="34"/>
      <c r="BN86" s="34"/>
      <c r="BO86" s="34"/>
      <c r="BP86" s="34"/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  <c r="CE86" s="34"/>
    </row>
    <row r="87"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34"/>
      <c r="AW87" s="34"/>
      <c r="AX87" s="34"/>
      <c r="AY87" s="34"/>
      <c r="AZ87" s="34"/>
      <c r="BA87" s="34"/>
      <c r="BB87" s="34"/>
      <c r="BC87" s="34"/>
      <c r="BD87" s="34"/>
      <c r="BE87" s="34"/>
      <c r="BF87" s="34"/>
      <c r="BG87" s="34"/>
      <c r="BH87" s="34"/>
      <c r="BI87" s="34"/>
      <c r="BJ87" s="34"/>
      <c r="BK87" s="34"/>
      <c r="BL87" s="34"/>
      <c r="BM87" s="34"/>
      <c r="BN87" s="34"/>
      <c r="BO87" s="34"/>
      <c r="BP87" s="34"/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  <c r="CE87" s="34"/>
    </row>
    <row r="88"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34"/>
      <c r="AW88" s="34"/>
      <c r="AX88" s="34"/>
      <c r="AY88" s="34"/>
      <c r="AZ88" s="34"/>
      <c r="BA88" s="34"/>
      <c r="BB88" s="34"/>
      <c r="BC88" s="34"/>
      <c r="BD88" s="34"/>
      <c r="BE88" s="34"/>
      <c r="BF88" s="34"/>
      <c r="BG88" s="34"/>
      <c r="BH88" s="34"/>
      <c r="BI88" s="34"/>
      <c r="BJ88" s="34"/>
      <c r="BK88" s="34"/>
      <c r="BL88" s="34"/>
      <c r="BM88" s="34"/>
      <c r="BN88" s="34"/>
      <c r="BO88" s="34"/>
      <c r="BP88" s="34"/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  <c r="CE88" s="34"/>
    </row>
    <row r="89">
      <c r="AL89" s="34"/>
      <c r="AM89" s="34"/>
      <c r="AN89" s="34"/>
      <c r="AO89" s="34"/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  <c r="CE89" s="34"/>
    </row>
    <row r="90">
      <c r="AL90" s="34"/>
      <c r="AM90" s="34"/>
      <c r="AN90" s="34"/>
      <c r="AO90" s="34"/>
      <c r="AP90" s="34"/>
      <c r="AQ90" s="34"/>
      <c r="AR90" s="34"/>
      <c r="AS90" s="34"/>
      <c r="AT90" s="34"/>
      <c r="AU90" s="34"/>
      <c r="AV90" s="34"/>
      <c r="AW90" s="34"/>
      <c r="AX90" s="34"/>
      <c r="AY90" s="34"/>
      <c r="AZ90" s="34"/>
      <c r="BA90" s="34"/>
      <c r="BB90" s="34"/>
      <c r="BC90" s="34"/>
      <c r="BD90" s="34"/>
      <c r="BE90" s="34"/>
      <c r="BF90" s="34"/>
      <c r="BG90" s="34"/>
      <c r="BH90" s="34"/>
      <c r="BI90" s="34"/>
      <c r="BJ90" s="34"/>
      <c r="BK90" s="34"/>
      <c r="BL90" s="34"/>
      <c r="BM90" s="34"/>
      <c r="BN90" s="34"/>
      <c r="BO90" s="34"/>
      <c r="BP90" s="34"/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  <c r="CE90" s="34"/>
    </row>
    <row r="91"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  <c r="CE91" s="34"/>
    </row>
    <row r="92"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  <c r="BB92" s="34"/>
      <c r="BC92" s="34"/>
      <c r="BD92" s="34"/>
      <c r="BE92" s="34"/>
      <c r="BF92" s="34"/>
      <c r="BG92" s="34"/>
      <c r="BH92" s="34"/>
      <c r="BI92" s="34"/>
      <c r="BJ92" s="34"/>
      <c r="BK92" s="34"/>
      <c r="BL92" s="34"/>
      <c r="BM92" s="34"/>
      <c r="BN92" s="34"/>
      <c r="BO92" s="34"/>
      <c r="BP92" s="34"/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  <c r="CE92" s="34"/>
    </row>
    <row r="93"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34"/>
      <c r="BH93" s="34"/>
      <c r="BI93" s="34"/>
      <c r="BJ93" s="34"/>
      <c r="BK93" s="34"/>
      <c r="BL93" s="34"/>
      <c r="BM93" s="34"/>
      <c r="BN93" s="34"/>
      <c r="BO93" s="34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  <c r="CE93" s="34"/>
    </row>
    <row r="94">
      <c r="AL94" s="34"/>
      <c r="AM94" s="34"/>
      <c r="AN94" s="34"/>
      <c r="AO94" s="34"/>
      <c r="AP94" s="34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  <c r="BB94" s="34"/>
      <c r="BC94" s="34"/>
      <c r="BD94" s="34"/>
      <c r="BE94" s="34"/>
      <c r="BF94" s="34"/>
      <c r="BG94" s="34"/>
      <c r="BH94" s="34"/>
      <c r="BI94" s="34"/>
      <c r="BJ94" s="34"/>
      <c r="BK94" s="34"/>
      <c r="BL94" s="34"/>
      <c r="BM94" s="34"/>
      <c r="BN94" s="34"/>
      <c r="BO94" s="34"/>
      <c r="BP94" s="34"/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  <c r="CE94" s="34"/>
    </row>
    <row r="95"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  <c r="BB95" s="34"/>
      <c r="BC95" s="34"/>
      <c r="BD95" s="34"/>
      <c r="BE95" s="34"/>
      <c r="BF95" s="34"/>
      <c r="BG95" s="34"/>
      <c r="BH95" s="34"/>
      <c r="BI95" s="34"/>
      <c r="BJ95" s="34"/>
      <c r="BK95" s="34"/>
      <c r="BL95" s="34"/>
      <c r="BM95" s="34"/>
      <c r="BN95" s="34"/>
      <c r="BO95" s="34"/>
      <c r="BP95" s="34"/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  <c r="CE95" s="34"/>
    </row>
    <row r="96">
      <c r="AL96" s="34"/>
      <c r="AM96" s="34"/>
      <c r="AN96" s="34"/>
      <c r="AO96" s="34"/>
      <c r="AP96" s="34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  <c r="BB96" s="34"/>
      <c r="BC96" s="34"/>
      <c r="BD96" s="34"/>
      <c r="BE96" s="34"/>
      <c r="BF96" s="34"/>
      <c r="BG96" s="34"/>
      <c r="BH96" s="34"/>
      <c r="BI96" s="34"/>
      <c r="BJ96" s="34"/>
      <c r="BK96" s="34"/>
      <c r="BL96" s="34"/>
      <c r="BM96" s="34"/>
      <c r="BN96" s="34"/>
      <c r="BO96" s="34"/>
      <c r="BP96" s="34"/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  <c r="CE96" s="34"/>
    </row>
    <row r="97"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34"/>
      <c r="BC97" s="34"/>
      <c r="BD97" s="34"/>
      <c r="BE97" s="34"/>
      <c r="BF97" s="34"/>
      <c r="BG97" s="34"/>
      <c r="BH97" s="34"/>
      <c r="BI97" s="34"/>
      <c r="BJ97" s="34"/>
      <c r="BK97" s="34"/>
      <c r="BL97" s="34"/>
      <c r="BM97" s="34"/>
      <c r="BN97" s="34"/>
      <c r="BO97" s="34"/>
      <c r="BP97" s="34"/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  <c r="CE97" s="34"/>
    </row>
    <row r="98">
      <c r="AL98" s="34"/>
      <c r="AM98" s="34"/>
      <c r="AN98" s="34"/>
      <c r="AO98" s="34"/>
      <c r="AP98" s="34"/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  <c r="BB98" s="34"/>
      <c r="BC98" s="34"/>
      <c r="BD98" s="34"/>
      <c r="BE98" s="34"/>
      <c r="BF98" s="34"/>
      <c r="BG98" s="34"/>
      <c r="BH98" s="34"/>
      <c r="BI98" s="34"/>
      <c r="BJ98" s="34"/>
      <c r="BK98" s="34"/>
      <c r="BL98" s="34"/>
      <c r="BM98" s="34"/>
      <c r="BN98" s="34"/>
      <c r="BO98" s="34"/>
      <c r="BP98" s="34"/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  <c r="CE98" s="34"/>
    </row>
    <row r="99"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4"/>
      <c r="BB99" s="34"/>
      <c r="BC99" s="34"/>
      <c r="BD99" s="34"/>
      <c r="BE99" s="34"/>
      <c r="BF99" s="34"/>
      <c r="BG99" s="34"/>
      <c r="BH99" s="34"/>
      <c r="BI99" s="34"/>
      <c r="BJ99" s="34"/>
      <c r="BK99" s="34"/>
      <c r="BL99" s="34"/>
      <c r="BM99" s="34"/>
      <c r="BN99" s="34"/>
      <c r="BO99" s="34"/>
      <c r="BP99" s="34"/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  <c r="CE99" s="34"/>
    </row>
    <row r="100">
      <c r="AL100" s="34"/>
      <c r="AM100" s="34"/>
      <c r="AN100" s="34"/>
      <c r="AO100" s="34"/>
      <c r="AP100" s="34"/>
      <c r="AQ100" s="34"/>
      <c r="AR100" s="34"/>
      <c r="AS100" s="34"/>
      <c r="AT100" s="34"/>
      <c r="AU100" s="34"/>
      <c r="AV100" s="34"/>
      <c r="AW100" s="34"/>
      <c r="AX100" s="34"/>
      <c r="AY100" s="34"/>
      <c r="AZ100" s="34"/>
      <c r="BA100" s="34"/>
      <c r="BB100" s="34"/>
      <c r="BC100" s="34"/>
      <c r="BD100" s="34"/>
      <c r="BE100" s="34"/>
      <c r="BF100" s="34"/>
      <c r="BG100" s="34"/>
      <c r="BH100" s="34"/>
      <c r="BI100" s="34"/>
      <c r="BJ100" s="34"/>
      <c r="BK100" s="34"/>
      <c r="BL100" s="34"/>
      <c r="BM100" s="34"/>
      <c r="BN100" s="34"/>
      <c r="BO100" s="34"/>
      <c r="BP100" s="34"/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  <c r="CE100" s="34"/>
    </row>
    <row r="101">
      <c r="AL101" s="34"/>
      <c r="AM101" s="34"/>
      <c r="AN101" s="34"/>
      <c r="AO101" s="34"/>
      <c r="AP101" s="34"/>
      <c r="AQ101" s="34"/>
      <c r="AR101" s="34"/>
      <c r="AS101" s="34"/>
      <c r="AT101" s="34"/>
      <c r="AU101" s="34"/>
      <c r="AV101" s="34"/>
      <c r="AW101" s="34"/>
      <c r="AX101" s="34"/>
      <c r="AY101" s="34"/>
      <c r="AZ101" s="34"/>
      <c r="BA101" s="34"/>
      <c r="BB101" s="34"/>
      <c r="BC101" s="34"/>
      <c r="BD101" s="34"/>
      <c r="BE101" s="34"/>
      <c r="BF101" s="34"/>
      <c r="BG101" s="34"/>
      <c r="BH101" s="34"/>
      <c r="BI101" s="34"/>
      <c r="BJ101" s="34"/>
      <c r="BK101" s="34"/>
      <c r="BL101" s="34"/>
      <c r="BM101" s="34"/>
      <c r="BN101" s="34"/>
      <c r="BO101" s="34"/>
      <c r="BP101" s="34"/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  <c r="CE101" s="34"/>
    </row>
    <row r="102">
      <c r="AL102" s="34"/>
      <c r="AM102" s="34"/>
      <c r="AN102" s="34"/>
      <c r="AO102" s="34"/>
      <c r="AP102" s="34"/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  <c r="BB102" s="34"/>
      <c r="BC102" s="34"/>
      <c r="BD102" s="34"/>
      <c r="BE102" s="34"/>
      <c r="BF102" s="34"/>
      <c r="BG102" s="34"/>
      <c r="BH102" s="34"/>
      <c r="BI102" s="34"/>
      <c r="BJ102" s="34"/>
      <c r="BK102" s="34"/>
      <c r="BL102" s="34"/>
      <c r="BM102" s="34"/>
      <c r="BN102" s="34"/>
      <c r="BO102" s="34"/>
      <c r="BP102" s="34"/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  <c r="CE102" s="34"/>
    </row>
    <row r="103"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34"/>
      <c r="AW103" s="34"/>
      <c r="AX103" s="34"/>
      <c r="AY103" s="34"/>
      <c r="AZ103" s="34"/>
      <c r="BA103" s="34"/>
      <c r="BB103" s="34"/>
      <c r="BC103" s="34"/>
      <c r="BD103" s="34"/>
      <c r="BE103" s="34"/>
      <c r="BF103" s="34"/>
      <c r="BG103" s="34"/>
      <c r="BH103" s="34"/>
      <c r="BI103" s="34"/>
      <c r="BJ103" s="34"/>
      <c r="BK103" s="34"/>
      <c r="BL103" s="34"/>
      <c r="BM103" s="34"/>
      <c r="BN103" s="34"/>
      <c r="BO103" s="34"/>
      <c r="BP103" s="34"/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  <c r="CE103" s="34"/>
    </row>
    <row r="104">
      <c r="AL104" s="34"/>
      <c r="AM104" s="34"/>
      <c r="AN104" s="34"/>
      <c r="AO104" s="34"/>
      <c r="AP104" s="34"/>
      <c r="AQ104" s="34"/>
      <c r="AR104" s="34"/>
      <c r="AS104" s="34"/>
      <c r="AT104" s="34"/>
      <c r="AU104" s="34"/>
      <c r="AV104" s="34"/>
      <c r="AW104" s="34"/>
      <c r="AX104" s="34"/>
      <c r="AY104" s="34"/>
      <c r="AZ104" s="34"/>
      <c r="BA104" s="34"/>
      <c r="BB104" s="34"/>
      <c r="BC104" s="34"/>
      <c r="BD104" s="34"/>
      <c r="BE104" s="34"/>
      <c r="BF104" s="34"/>
      <c r="BG104" s="34"/>
      <c r="BH104" s="34"/>
      <c r="BI104" s="34"/>
      <c r="BJ104" s="34"/>
      <c r="BK104" s="34"/>
      <c r="BL104" s="34"/>
      <c r="BM104" s="34"/>
      <c r="BN104" s="34"/>
      <c r="BO104" s="34"/>
      <c r="BP104" s="34"/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  <c r="CE104" s="34"/>
    </row>
    <row r="105"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  <c r="CE105" s="34"/>
    </row>
    <row r="106"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  <c r="CE106" s="34"/>
    </row>
    <row r="107"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  <c r="CE107" s="34"/>
    </row>
    <row r="108"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  <c r="CE108" s="34"/>
    </row>
    <row r="109"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</row>
    <row r="110">
      <c r="AL110" s="34"/>
      <c r="AM110" s="34"/>
      <c r="AN110" s="34"/>
      <c r="AO110" s="34"/>
      <c r="AP110" s="34"/>
      <c r="AQ110" s="34"/>
      <c r="AR110" s="34"/>
      <c r="AS110" s="34"/>
      <c r="AT110" s="34"/>
      <c r="AU110" s="34"/>
      <c r="AV110" s="34"/>
      <c r="AW110" s="34"/>
      <c r="AX110" s="34"/>
      <c r="AY110" s="34"/>
      <c r="AZ110" s="34"/>
      <c r="BA110" s="34"/>
      <c r="BB110" s="34"/>
      <c r="BC110" s="34"/>
      <c r="BD110" s="34"/>
      <c r="BE110" s="34"/>
      <c r="BF110" s="34"/>
      <c r="BG110" s="34"/>
      <c r="BH110" s="34"/>
      <c r="BI110" s="34"/>
      <c r="BJ110" s="34"/>
      <c r="BK110" s="34"/>
      <c r="BL110" s="34"/>
      <c r="BM110" s="34"/>
      <c r="BN110" s="34"/>
      <c r="BO110" s="34"/>
      <c r="BP110" s="34"/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  <c r="CE110" s="34"/>
    </row>
    <row r="111"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</row>
    <row r="112"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</row>
    <row r="113"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  <c r="CE113" s="34"/>
    </row>
    <row r="114">
      <c r="AL114" s="34"/>
      <c r="AM114" s="34"/>
      <c r="AN114" s="34"/>
      <c r="AO114" s="34"/>
      <c r="AP114" s="34"/>
      <c r="AQ114" s="34"/>
      <c r="AR114" s="34"/>
      <c r="AS114" s="34"/>
      <c r="AT114" s="34"/>
      <c r="AU114" s="34"/>
      <c r="AV114" s="34"/>
      <c r="AW114" s="34"/>
      <c r="AX114" s="34"/>
      <c r="AY114" s="34"/>
      <c r="AZ114" s="34"/>
      <c r="BA114" s="34"/>
      <c r="BB114" s="34"/>
      <c r="BC114" s="34"/>
      <c r="BD114" s="34"/>
      <c r="BE114" s="34"/>
      <c r="BF114" s="34"/>
      <c r="BG114" s="34"/>
      <c r="BH114" s="34"/>
      <c r="BI114" s="34"/>
      <c r="BJ114" s="34"/>
      <c r="BK114" s="34"/>
      <c r="BL114" s="34"/>
      <c r="BM114" s="34"/>
      <c r="BN114" s="34"/>
      <c r="BO114" s="34"/>
      <c r="BP114" s="34"/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  <c r="CE114" s="34"/>
    </row>
    <row r="115"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  <c r="CE115" s="34"/>
    </row>
    <row r="116"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34"/>
      <c r="AW116" s="34"/>
      <c r="AX116" s="34"/>
      <c r="AY116" s="34"/>
      <c r="AZ116" s="34"/>
      <c r="BA116" s="34"/>
      <c r="BB116" s="34"/>
      <c r="BC116" s="34"/>
      <c r="BD116" s="34"/>
      <c r="BE116" s="34"/>
      <c r="BF116" s="34"/>
      <c r="BG116" s="34"/>
      <c r="BH116" s="34"/>
      <c r="BI116" s="34"/>
      <c r="BJ116" s="34"/>
      <c r="BK116" s="34"/>
      <c r="BL116" s="34"/>
      <c r="BM116" s="34"/>
      <c r="BN116" s="34"/>
      <c r="BO116" s="34"/>
      <c r="BP116" s="34"/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  <c r="CE116" s="34"/>
    </row>
    <row r="117"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  <c r="CE117" s="34"/>
    </row>
    <row r="118"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  <c r="CE118" s="34"/>
    </row>
    <row r="119"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  <c r="CE119" s="34"/>
    </row>
    <row r="120"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  <c r="CE120" s="34"/>
    </row>
    <row r="121"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  <c r="CE121" s="34"/>
    </row>
    <row r="122"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  <c r="CE122" s="34"/>
    </row>
    <row r="123"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  <c r="CE123" s="34"/>
    </row>
    <row r="124"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  <c r="CE124" s="34"/>
    </row>
    <row r="125"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</row>
    <row r="126"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  <c r="CE126" s="34"/>
    </row>
    <row r="127"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  <c r="CE127" s="34"/>
    </row>
    <row r="128"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  <c r="CE128" s="34"/>
    </row>
    <row r="129"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  <c r="CE129" s="34"/>
    </row>
    <row r="130"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  <c r="CE130" s="34"/>
    </row>
    <row r="131"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/>
      <c r="AW131" s="34"/>
      <c r="AX131" s="34"/>
      <c r="AY131" s="34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  <c r="CE131" s="34"/>
    </row>
    <row r="132"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  <c r="CE132" s="34"/>
    </row>
    <row r="133"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  <c r="CE133" s="34"/>
    </row>
    <row r="134"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  <c r="CE134" s="34"/>
    </row>
    <row r="135"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  <c r="CE135" s="34"/>
    </row>
    <row r="136"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  <c r="CE136" s="34"/>
    </row>
    <row r="137"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  <c r="CE137" s="34"/>
    </row>
    <row r="138"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  <c r="CE138" s="34"/>
    </row>
    <row r="139"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  <c r="CE139" s="34"/>
    </row>
    <row r="140"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  <c r="CE140" s="34"/>
    </row>
    <row r="141"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  <c r="CE141" s="34"/>
    </row>
    <row r="142"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  <c r="CE142" s="34"/>
    </row>
    <row r="143"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  <c r="CE143" s="34"/>
    </row>
    <row r="144"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  <c r="CE144" s="34"/>
    </row>
    <row r="145"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  <c r="CE145" s="34"/>
    </row>
    <row r="146"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  <c r="CE146" s="34"/>
    </row>
    <row r="147"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  <c r="CE147" s="34"/>
    </row>
    <row r="148"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  <c r="CE148" s="34"/>
    </row>
    <row r="149"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  <c r="CE149" s="34"/>
    </row>
    <row r="150"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</row>
    <row r="151"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  <c r="CE151" s="34"/>
    </row>
    <row r="152"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  <c r="CE152" s="34"/>
    </row>
    <row r="153"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  <c r="CE153" s="34"/>
    </row>
    <row r="154"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  <c r="CE154" s="34"/>
    </row>
    <row r="155"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  <c r="CE155" s="34"/>
    </row>
    <row r="156"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34"/>
      <c r="AW156" s="34"/>
      <c r="AX156" s="34"/>
      <c r="AY156" s="34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  <c r="CE156" s="34"/>
    </row>
    <row r="157"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  <c r="CE157" s="34"/>
    </row>
    <row r="158"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  <c r="CE158" s="34"/>
    </row>
    <row r="159"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  <c r="CE159" s="34"/>
    </row>
    <row r="160"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  <c r="CE160" s="34"/>
    </row>
    <row r="161"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</row>
    <row r="162"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  <c r="CE162" s="34"/>
    </row>
    <row r="163"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  <c r="CE163" s="34"/>
    </row>
    <row r="164"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  <c r="CE164" s="34"/>
    </row>
    <row r="165"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  <c r="CE165" s="34"/>
    </row>
    <row r="166"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  <c r="CE166" s="34"/>
    </row>
    <row r="167"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/>
      <c r="AY167" s="34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  <c r="CE167" s="34"/>
    </row>
    <row r="168"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  <c r="CE168" s="34"/>
    </row>
    <row r="169"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  <c r="CE169" s="34"/>
    </row>
    <row r="170"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  <c r="CE170" s="34"/>
    </row>
    <row r="171"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  <c r="CE171" s="34"/>
    </row>
    <row r="172"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</row>
    <row r="173"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  <c r="CE173" s="34"/>
    </row>
    <row r="174"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  <c r="CE174" s="34"/>
    </row>
    <row r="175"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  <c r="CE175" s="34"/>
    </row>
    <row r="176"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</row>
    <row r="177"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  <c r="CE177" s="34"/>
    </row>
    <row r="178"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  <c r="CE178" s="34"/>
    </row>
    <row r="179">
      <c r="H179" s="36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  <c r="CE179" s="34"/>
    </row>
    <row r="180"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  <c r="CE180" s="34"/>
    </row>
    <row r="181"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  <c r="CE181" s="34"/>
    </row>
    <row r="182"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</row>
    <row r="183"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  <c r="CE183" s="34"/>
    </row>
    <row r="184"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  <c r="CE184" s="34"/>
    </row>
    <row r="185"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</row>
    <row r="186"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  <c r="CE186" s="34"/>
    </row>
    <row r="187"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  <c r="CE187" s="34"/>
    </row>
    <row r="188"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</row>
    <row r="189"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  <c r="CE189" s="34"/>
    </row>
    <row r="190"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  <c r="CE190" s="34"/>
    </row>
    <row r="191"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  <c r="CE191" s="34"/>
    </row>
    <row r="192"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  <c r="CE192" s="34"/>
    </row>
    <row r="193"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  <c r="CE193" s="34"/>
    </row>
    <row r="194"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  <c r="CE194" s="34"/>
    </row>
    <row r="195"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  <c r="CE195" s="34"/>
    </row>
    <row r="196"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  <c r="CE196" s="34"/>
    </row>
    <row r="197"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  <c r="CE197" s="34"/>
    </row>
    <row r="198"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  <c r="CE198" s="34"/>
    </row>
    <row r="199"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  <c r="CE199" s="34"/>
    </row>
    <row r="200"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  <c r="CE200" s="34"/>
    </row>
    <row r="201"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  <c r="CE201" s="34"/>
    </row>
    <row r="202"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  <c r="CE202" s="34"/>
    </row>
    <row r="203"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  <c r="CE203" s="34"/>
    </row>
    <row r="204"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34"/>
      <c r="AW204" s="34"/>
      <c r="AX204" s="34"/>
      <c r="AY204" s="34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  <c r="CE204" s="34"/>
    </row>
    <row r="205"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  <c r="CE205" s="34"/>
    </row>
    <row r="206"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  <c r="CE206" s="34"/>
    </row>
    <row r="207"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34"/>
      <c r="BC207" s="34"/>
      <c r="BD207" s="34"/>
      <c r="BE207" s="34"/>
      <c r="BF207" s="34"/>
      <c r="BG207" s="34"/>
      <c r="BH207" s="34"/>
      <c r="BI207" s="34"/>
      <c r="BJ207" s="34"/>
      <c r="BK207" s="34"/>
      <c r="BL207" s="34"/>
      <c r="BM207" s="34"/>
      <c r="BN207" s="34"/>
      <c r="BO207" s="34"/>
      <c r="BP207" s="34"/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  <c r="CE207" s="34"/>
    </row>
    <row r="208"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  <c r="BB208" s="34"/>
      <c r="BC208" s="34"/>
      <c r="BD208" s="34"/>
      <c r="BE208" s="34"/>
      <c r="BF208" s="34"/>
      <c r="BG208" s="34"/>
      <c r="BH208" s="34"/>
      <c r="BI208" s="34"/>
      <c r="BJ208" s="34"/>
      <c r="BK208" s="34"/>
      <c r="BL208" s="34"/>
      <c r="BM208" s="34"/>
      <c r="BN208" s="34"/>
      <c r="BO208" s="34"/>
      <c r="BP208" s="34"/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  <c r="CE208" s="34"/>
    </row>
    <row r="209"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34"/>
      <c r="BC209" s="34"/>
      <c r="BD209" s="34"/>
      <c r="BE209" s="34"/>
      <c r="BF209" s="34"/>
      <c r="BG209" s="34"/>
      <c r="BH209" s="34"/>
      <c r="BI209" s="34"/>
      <c r="BJ209" s="34"/>
      <c r="BK209" s="34"/>
      <c r="BL209" s="34"/>
      <c r="BM209" s="34"/>
      <c r="BN209" s="34"/>
      <c r="BO209" s="34"/>
      <c r="BP209" s="34"/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  <c r="CE209" s="34"/>
    </row>
    <row r="210"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34"/>
      <c r="BC210" s="34"/>
      <c r="BD210" s="34"/>
      <c r="BE210" s="34"/>
      <c r="BF210" s="34"/>
      <c r="BG210" s="34"/>
      <c r="BH210" s="34"/>
      <c r="BI210" s="34"/>
      <c r="BJ210" s="34"/>
      <c r="BK210" s="34"/>
      <c r="BL210" s="34"/>
      <c r="BM210" s="34"/>
      <c r="BN210" s="34"/>
      <c r="BO210" s="34"/>
      <c r="BP210" s="34"/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  <c r="CE210" s="34"/>
    </row>
    <row r="211"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34"/>
      <c r="AW211" s="34"/>
      <c r="AX211" s="34"/>
      <c r="AY211" s="34"/>
      <c r="AZ211" s="34"/>
      <c r="BA211" s="34"/>
      <c r="BB211" s="34"/>
      <c r="BC211" s="34"/>
      <c r="BD211" s="34"/>
      <c r="BE211" s="34"/>
      <c r="BF211" s="34"/>
      <c r="BG211" s="34"/>
      <c r="BH211" s="34"/>
      <c r="BI211" s="34"/>
      <c r="BJ211" s="34"/>
      <c r="BK211" s="34"/>
      <c r="BL211" s="34"/>
      <c r="BM211" s="34"/>
      <c r="BN211" s="34"/>
      <c r="BO211" s="34"/>
      <c r="BP211" s="34"/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  <c r="CE211" s="34"/>
    </row>
    <row r="212"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  <c r="BB212" s="34"/>
      <c r="BC212" s="34"/>
      <c r="BD212" s="34"/>
      <c r="BE212" s="34"/>
      <c r="BF212" s="34"/>
      <c r="BG212" s="34"/>
      <c r="BH212" s="34"/>
      <c r="BI212" s="34"/>
      <c r="BJ212" s="34"/>
      <c r="BK212" s="34"/>
      <c r="BL212" s="34"/>
      <c r="BM212" s="34"/>
      <c r="BN212" s="34"/>
      <c r="BO212" s="34"/>
      <c r="BP212" s="34"/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  <c r="CE212" s="34"/>
    </row>
    <row r="213"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34"/>
      <c r="BC213" s="34"/>
      <c r="BD213" s="34"/>
      <c r="BE213" s="34"/>
      <c r="BF213" s="34"/>
      <c r="BG213" s="34"/>
      <c r="BH213" s="34"/>
      <c r="BI213" s="34"/>
      <c r="BJ213" s="34"/>
      <c r="BK213" s="34"/>
      <c r="BL213" s="34"/>
      <c r="BM213" s="34"/>
      <c r="BN213" s="34"/>
      <c r="BO213" s="34"/>
      <c r="BP213" s="34"/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  <c r="CE213" s="34"/>
    </row>
    <row r="214"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34"/>
      <c r="BC214" s="34"/>
      <c r="BD214" s="34"/>
      <c r="BE214" s="34"/>
      <c r="BF214" s="34"/>
      <c r="BG214" s="34"/>
      <c r="BH214" s="34"/>
      <c r="BI214" s="34"/>
      <c r="BJ214" s="34"/>
      <c r="BK214" s="34"/>
      <c r="BL214" s="34"/>
      <c r="BM214" s="34"/>
      <c r="BN214" s="34"/>
      <c r="BO214" s="34"/>
      <c r="BP214" s="34"/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  <c r="CE214" s="34"/>
    </row>
    <row r="215"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34"/>
      <c r="BC215" s="34"/>
      <c r="BD215" s="34"/>
      <c r="BE215" s="34"/>
      <c r="BF215" s="34"/>
      <c r="BG215" s="34"/>
      <c r="BH215" s="34"/>
      <c r="BI215" s="34"/>
      <c r="BJ215" s="34"/>
      <c r="BK215" s="34"/>
      <c r="BL215" s="34"/>
      <c r="BM215" s="34"/>
      <c r="BN215" s="34"/>
      <c r="BO215" s="34"/>
      <c r="BP215" s="34"/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  <c r="CE215" s="34"/>
    </row>
    <row r="216"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34"/>
      <c r="BC216" s="34"/>
      <c r="BD216" s="34"/>
      <c r="BE216" s="34"/>
      <c r="BF216" s="34"/>
      <c r="BG216" s="34"/>
      <c r="BH216" s="34"/>
      <c r="BI216" s="34"/>
      <c r="BJ216" s="34"/>
      <c r="BK216" s="34"/>
      <c r="BL216" s="34"/>
      <c r="BM216" s="34"/>
      <c r="BN216" s="34"/>
      <c r="BO216" s="34"/>
      <c r="BP216" s="34"/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  <c r="CE216" s="34"/>
    </row>
    <row r="217"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34"/>
      <c r="BC217" s="34"/>
      <c r="BD217" s="34"/>
      <c r="BE217" s="34"/>
      <c r="BF217" s="34"/>
      <c r="BG217" s="34"/>
      <c r="BH217" s="34"/>
      <c r="BI217" s="34"/>
      <c r="BJ217" s="34"/>
      <c r="BK217" s="34"/>
      <c r="BL217" s="34"/>
      <c r="BM217" s="34"/>
      <c r="BN217" s="34"/>
      <c r="BO217" s="34"/>
      <c r="BP217" s="34"/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  <c r="CE217" s="34"/>
    </row>
    <row r="218"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34"/>
      <c r="BC218" s="34"/>
      <c r="BD218" s="34"/>
      <c r="BE218" s="34"/>
      <c r="BF218" s="34"/>
      <c r="BG218" s="34"/>
      <c r="BH218" s="34"/>
      <c r="BI218" s="34"/>
      <c r="BJ218" s="34"/>
      <c r="BK218" s="34"/>
      <c r="BL218" s="34"/>
      <c r="BM218" s="34"/>
      <c r="BN218" s="34"/>
      <c r="BO218" s="34"/>
      <c r="BP218" s="34"/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  <c r="CE218" s="34"/>
    </row>
    <row r="219"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34"/>
      <c r="BC219" s="34"/>
      <c r="BD219" s="34"/>
      <c r="BE219" s="34"/>
      <c r="BF219" s="34"/>
      <c r="BG219" s="34"/>
      <c r="BH219" s="34"/>
      <c r="BI219" s="34"/>
      <c r="BJ219" s="34"/>
      <c r="BK219" s="34"/>
      <c r="BL219" s="34"/>
      <c r="BM219" s="34"/>
      <c r="BN219" s="34"/>
      <c r="BO219" s="34"/>
      <c r="BP219" s="34"/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  <c r="CE219" s="34"/>
    </row>
    <row r="220"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34"/>
      <c r="BC220" s="34"/>
      <c r="BD220" s="34"/>
      <c r="BE220" s="34"/>
      <c r="BF220" s="34"/>
      <c r="BG220" s="34"/>
      <c r="BH220" s="34"/>
      <c r="BI220" s="34"/>
      <c r="BJ220" s="34"/>
      <c r="BK220" s="34"/>
      <c r="BL220" s="34"/>
      <c r="BM220" s="34"/>
      <c r="BN220" s="34"/>
      <c r="BO220" s="34"/>
      <c r="BP220" s="34"/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  <c r="CE220" s="34"/>
    </row>
    <row r="221"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/>
      <c r="BM221" s="34"/>
      <c r="BN221" s="34"/>
      <c r="BO221" s="34"/>
      <c r="BP221" s="34"/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  <c r="CE221" s="34"/>
    </row>
    <row r="222"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34"/>
      <c r="BC222" s="34"/>
      <c r="BD222" s="34"/>
      <c r="BE222" s="34"/>
      <c r="BF222" s="34"/>
      <c r="BG222" s="34"/>
      <c r="BH222" s="34"/>
      <c r="BI222" s="34"/>
      <c r="BJ222" s="34"/>
      <c r="BK222" s="34"/>
      <c r="BL222" s="34"/>
      <c r="BM222" s="34"/>
      <c r="BN222" s="34"/>
      <c r="BO222" s="34"/>
      <c r="BP222" s="34"/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  <c r="CE222" s="34"/>
    </row>
    <row r="223"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34"/>
      <c r="BC223" s="34"/>
      <c r="BD223" s="34"/>
      <c r="BE223" s="34"/>
      <c r="BF223" s="34"/>
      <c r="BG223" s="34"/>
      <c r="BH223" s="34"/>
      <c r="BI223" s="34"/>
      <c r="BJ223" s="34"/>
      <c r="BK223" s="34"/>
      <c r="BL223" s="34"/>
      <c r="BM223" s="34"/>
      <c r="BN223" s="34"/>
      <c r="BO223" s="34"/>
      <c r="BP223" s="34"/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  <c r="CE223" s="34"/>
    </row>
    <row r="224"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34"/>
      <c r="BC224" s="34"/>
      <c r="BD224" s="34"/>
      <c r="BE224" s="34"/>
      <c r="BF224" s="34"/>
      <c r="BG224" s="34"/>
      <c r="BH224" s="34"/>
      <c r="BI224" s="34"/>
      <c r="BJ224" s="34"/>
      <c r="BK224" s="34"/>
      <c r="BL224" s="34"/>
      <c r="BM224" s="34"/>
      <c r="BN224" s="34"/>
      <c r="BO224" s="34"/>
      <c r="BP224" s="34"/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  <c r="CE224" s="34"/>
    </row>
    <row r="225"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34"/>
      <c r="BC225" s="34"/>
      <c r="BD225" s="34"/>
      <c r="BE225" s="34"/>
      <c r="BF225" s="34"/>
      <c r="BG225" s="34"/>
      <c r="BH225" s="34"/>
      <c r="BI225" s="34"/>
      <c r="BJ225" s="34"/>
      <c r="BK225" s="34"/>
      <c r="BL225" s="34"/>
      <c r="BM225" s="34"/>
      <c r="BN225" s="34"/>
      <c r="BO225" s="34"/>
      <c r="BP225" s="34"/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  <c r="CE225" s="34"/>
    </row>
    <row r="226"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34"/>
      <c r="AW226" s="34"/>
      <c r="AX226" s="34"/>
      <c r="AY226" s="34"/>
      <c r="AZ226" s="34"/>
      <c r="BA226" s="34"/>
      <c r="BB226" s="34"/>
      <c r="BC226" s="34"/>
      <c r="BD226" s="34"/>
      <c r="BE226" s="34"/>
      <c r="BF226" s="34"/>
      <c r="BG226" s="34"/>
      <c r="BH226" s="34"/>
      <c r="BI226" s="34"/>
      <c r="BJ226" s="34"/>
      <c r="BK226" s="34"/>
      <c r="BL226" s="34"/>
      <c r="BM226" s="34"/>
      <c r="BN226" s="34"/>
      <c r="BO226" s="34"/>
      <c r="BP226" s="34"/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  <c r="CE226" s="34"/>
    </row>
    <row r="227"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  <c r="BB227" s="34"/>
      <c r="BC227" s="34"/>
      <c r="BD227" s="34"/>
      <c r="BE227" s="34"/>
      <c r="BF227" s="34"/>
      <c r="BG227" s="34"/>
      <c r="BH227" s="34"/>
      <c r="BI227" s="34"/>
      <c r="BJ227" s="34"/>
      <c r="BK227" s="34"/>
      <c r="BL227" s="34"/>
      <c r="BM227" s="34"/>
      <c r="BN227" s="34"/>
      <c r="BO227" s="34"/>
      <c r="BP227" s="34"/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  <c r="CE227" s="34"/>
    </row>
    <row r="228"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  <c r="BB228" s="34"/>
      <c r="BC228" s="34"/>
      <c r="BD228" s="34"/>
      <c r="BE228" s="34"/>
      <c r="BF228" s="34"/>
      <c r="BG228" s="34"/>
      <c r="BH228" s="34"/>
      <c r="BI228" s="34"/>
      <c r="BJ228" s="34"/>
      <c r="BK228" s="34"/>
      <c r="BL228" s="34"/>
      <c r="BM228" s="34"/>
      <c r="BN228" s="34"/>
      <c r="BO228" s="34"/>
      <c r="BP228" s="34"/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  <c r="CE228" s="34"/>
    </row>
    <row r="229"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  <c r="BB229" s="34"/>
      <c r="BC229" s="34"/>
      <c r="BD229" s="34"/>
      <c r="BE229" s="34"/>
      <c r="BF229" s="34"/>
      <c r="BG229" s="34"/>
      <c r="BH229" s="34"/>
      <c r="BI229" s="34"/>
      <c r="BJ229" s="34"/>
      <c r="BK229" s="34"/>
      <c r="BL229" s="34"/>
      <c r="BM229" s="34"/>
      <c r="BN229" s="34"/>
      <c r="BO229" s="34"/>
      <c r="BP229" s="34"/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  <c r="CE229" s="34"/>
    </row>
    <row r="230"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34"/>
      <c r="AW230" s="34"/>
      <c r="AX230" s="34"/>
      <c r="AY230" s="34"/>
      <c r="AZ230" s="34"/>
      <c r="BA230" s="34"/>
      <c r="BB230" s="34"/>
      <c r="BC230" s="34"/>
      <c r="BD230" s="34"/>
      <c r="BE230" s="34"/>
      <c r="BF230" s="34"/>
      <c r="BG230" s="34"/>
      <c r="BH230" s="34"/>
      <c r="BI230" s="34"/>
      <c r="BJ230" s="34"/>
      <c r="BK230" s="34"/>
      <c r="BL230" s="34"/>
      <c r="BM230" s="34"/>
      <c r="BN230" s="34"/>
      <c r="BO230" s="34"/>
      <c r="BP230" s="34"/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  <c r="CE230" s="34"/>
    </row>
    <row r="231"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  <c r="BB231" s="34"/>
      <c r="BC231" s="34"/>
      <c r="BD231" s="34"/>
      <c r="BE231" s="34"/>
      <c r="BF231" s="34"/>
      <c r="BG231" s="34"/>
      <c r="BH231" s="34"/>
      <c r="BI231" s="34"/>
      <c r="BJ231" s="34"/>
      <c r="BK231" s="34"/>
      <c r="BL231" s="34"/>
      <c r="BM231" s="34"/>
      <c r="BN231" s="34"/>
      <c r="BO231" s="34"/>
      <c r="BP231" s="34"/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  <c r="CE231" s="34"/>
    </row>
    <row r="232"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34"/>
      <c r="BC232" s="34"/>
      <c r="BD232" s="34"/>
      <c r="BE232" s="34"/>
      <c r="BF232" s="34"/>
      <c r="BG232" s="34"/>
      <c r="BH232" s="34"/>
      <c r="BI232" s="34"/>
      <c r="BJ232" s="34"/>
      <c r="BK232" s="34"/>
      <c r="BL232" s="34"/>
      <c r="BM232" s="34"/>
      <c r="BN232" s="34"/>
      <c r="BO232" s="34"/>
      <c r="BP232" s="34"/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  <c r="CE232" s="34"/>
    </row>
    <row r="233"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34"/>
      <c r="BC233" s="34"/>
      <c r="BD233" s="34"/>
      <c r="BE233" s="34"/>
      <c r="BF233" s="34"/>
      <c r="BG233" s="34"/>
      <c r="BH233" s="34"/>
      <c r="BI233" s="34"/>
      <c r="BJ233" s="34"/>
      <c r="BK233" s="34"/>
      <c r="BL233" s="34"/>
      <c r="BM233" s="34"/>
      <c r="BN233" s="34"/>
      <c r="BO233" s="34"/>
      <c r="BP233" s="34"/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  <c r="CE233" s="34"/>
    </row>
    <row r="234"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34"/>
      <c r="BC234" s="34"/>
      <c r="BD234" s="34"/>
      <c r="BE234" s="34"/>
      <c r="BF234" s="34"/>
      <c r="BG234" s="34"/>
      <c r="BH234" s="34"/>
      <c r="BI234" s="34"/>
      <c r="BJ234" s="34"/>
      <c r="BK234" s="34"/>
      <c r="BL234" s="34"/>
      <c r="BM234" s="34"/>
      <c r="BN234" s="34"/>
      <c r="BO234" s="34"/>
      <c r="BP234" s="34"/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  <c r="CE234" s="34"/>
    </row>
    <row r="235"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34"/>
      <c r="BC235" s="34"/>
      <c r="BD235" s="34"/>
      <c r="BE235" s="34"/>
      <c r="BF235" s="34"/>
      <c r="BG235" s="34"/>
      <c r="BH235" s="34"/>
      <c r="BI235" s="34"/>
      <c r="BJ235" s="34"/>
      <c r="BK235" s="34"/>
      <c r="BL235" s="34"/>
      <c r="BM235" s="34"/>
      <c r="BN235" s="34"/>
      <c r="BO235" s="34"/>
      <c r="BP235" s="34"/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  <c r="CE235" s="34"/>
    </row>
    <row r="236"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34"/>
      <c r="BC236" s="34"/>
      <c r="BD236" s="34"/>
      <c r="BE236" s="34"/>
      <c r="BF236" s="34"/>
      <c r="BG236" s="34"/>
      <c r="BH236" s="34"/>
      <c r="BI236" s="34"/>
      <c r="BJ236" s="34"/>
      <c r="BK236" s="34"/>
      <c r="BL236" s="34"/>
      <c r="BM236" s="34"/>
      <c r="BN236" s="34"/>
      <c r="BO236" s="34"/>
      <c r="BP236" s="34"/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  <c r="CE236" s="34"/>
    </row>
    <row r="237"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34"/>
      <c r="BC237" s="34"/>
      <c r="BD237" s="34"/>
      <c r="BE237" s="34"/>
      <c r="BF237" s="34"/>
      <c r="BG237" s="34"/>
      <c r="BH237" s="34"/>
      <c r="BI237" s="34"/>
      <c r="BJ237" s="34"/>
      <c r="BK237" s="34"/>
      <c r="BL237" s="34"/>
      <c r="BM237" s="34"/>
      <c r="BN237" s="34"/>
      <c r="BO237" s="34"/>
      <c r="BP237" s="34"/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  <c r="CE237" s="34"/>
    </row>
    <row r="238"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34"/>
      <c r="BC238" s="34"/>
      <c r="BD238" s="34"/>
      <c r="BE238" s="34"/>
      <c r="BF238" s="34"/>
      <c r="BG238" s="34"/>
      <c r="BH238" s="34"/>
      <c r="BI238" s="34"/>
      <c r="BJ238" s="34"/>
      <c r="BK238" s="34"/>
      <c r="BL238" s="34"/>
      <c r="BM238" s="34"/>
      <c r="BN238" s="34"/>
      <c r="BO238" s="34"/>
      <c r="BP238" s="34"/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  <c r="CE238" s="34"/>
    </row>
    <row r="239"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34"/>
      <c r="BC239" s="34"/>
      <c r="BD239" s="34"/>
      <c r="BE239" s="34"/>
      <c r="BF239" s="34"/>
      <c r="BG239" s="34"/>
      <c r="BH239" s="34"/>
      <c r="BI239" s="34"/>
      <c r="BJ239" s="34"/>
      <c r="BK239" s="34"/>
      <c r="BL239" s="34"/>
      <c r="BM239" s="34"/>
      <c r="BN239" s="34"/>
      <c r="BO239" s="34"/>
      <c r="BP239" s="34"/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  <c r="CE239" s="34"/>
    </row>
    <row r="240"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34"/>
      <c r="BC240" s="34"/>
      <c r="BD240" s="34"/>
      <c r="BE240" s="34"/>
      <c r="BF240" s="34"/>
      <c r="BG240" s="34"/>
      <c r="BH240" s="34"/>
      <c r="BI240" s="34"/>
      <c r="BJ240" s="34"/>
      <c r="BK240" s="34"/>
      <c r="BL240" s="34"/>
      <c r="BM240" s="34"/>
      <c r="BN240" s="34"/>
      <c r="BO240" s="34"/>
      <c r="BP240" s="34"/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  <c r="CE240" s="34"/>
    </row>
    <row r="241"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34"/>
      <c r="BC241" s="34"/>
      <c r="BD241" s="34"/>
      <c r="BE241" s="34"/>
      <c r="BF241" s="34"/>
      <c r="BG241" s="34"/>
      <c r="BH241" s="34"/>
      <c r="BI241" s="34"/>
      <c r="BJ241" s="34"/>
      <c r="BK241" s="34"/>
      <c r="BL241" s="34"/>
      <c r="BM241" s="34"/>
      <c r="BN241" s="34"/>
      <c r="BO241" s="34"/>
      <c r="BP241" s="34"/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  <c r="CE241" s="34"/>
    </row>
    <row r="242"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34"/>
      <c r="BC242" s="34"/>
      <c r="BD242" s="34"/>
      <c r="BE242" s="34"/>
      <c r="BF242" s="34"/>
      <c r="BG242" s="34"/>
      <c r="BH242" s="34"/>
      <c r="BI242" s="34"/>
      <c r="BJ242" s="34"/>
      <c r="BK242" s="34"/>
      <c r="BL242" s="34"/>
      <c r="BM242" s="34"/>
      <c r="BN242" s="34"/>
      <c r="BO242" s="34"/>
      <c r="BP242" s="34"/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  <c r="CE242" s="34"/>
    </row>
    <row r="243"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34"/>
      <c r="BC243" s="34"/>
      <c r="BD243" s="34"/>
      <c r="BE243" s="34"/>
      <c r="BF243" s="34"/>
      <c r="BG243" s="34"/>
      <c r="BH243" s="34"/>
      <c r="BI243" s="34"/>
      <c r="BJ243" s="34"/>
      <c r="BK243" s="34"/>
      <c r="BL243" s="34"/>
      <c r="BM243" s="34"/>
      <c r="BN243" s="34"/>
      <c r="BO243" s="34"/>
      <c r="BP243" s="34"/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  <c r="CE243" s="34"/>
    </row>
    <row r="244"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34"/>
      <c r="BC244" s="34"/>
      <c r="BD244" s="34"/>
      <c r="BE244" s="34"/>
      <c r="BF244" s="34"/>
      <c r="BG244" s="34"/>
      <c r="BH244" s="34"/>
      <c r="BI244" s="34"/>
      <c r="BJ244" s="34"/>
      <c r="BK244" s="34"/>
      <c r="BL244" s="34"/>
      <c r="BM244" s="34"/>
      <c r="BN244" s="34"/>
      <c r="BO244" s="34"/>
      <c r="BP244" s="34"/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  <c r="CE244" s="34"/>
    </row>
    <row r="245"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34"/>
      <c r="AW245" s="34"/>
      <c r="AX245" s="34"/>
      <c r="AY245" s="34"/>
      <c r="AZ245" s="34"/>
      <c r="BA245" s="34"/>
      <c r="BB245" s="34"/>
      <c r="BC245" s="34"/>
      <c r="BD245" s="34"/>
      <c r="BE245" s="34"/>
      <c r="BF245" s="34"/>
      <c r="BG245" s="34"/>
      <c r="BH245" s="34"/>
      <c r="BI245" s="34"/>
      <c r="BJ245" s="34"/>
      <c r="BK245" s="34"/>
      <c r="BL245" s="34"/>
      <c r="BM245" s="34"/>
      <c r="BN245" s="34"/>
      <c r="BO245" s="34"/>
      <c r="BP245" s="34"/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  <c r="CE245" s="34"/>
    </row>
    <row r="246"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  <c r="BB246" s="34"/>
      <c r="BC246" s="34"/>
      <c r="BD246" s="34"/>
      <c r="BE246" s="34"/>
      <c r="BF246" s="34"/>
      <c r="BG246" s="34"/>
      <c r="BH246" s="34"/>
      <c r="BI246" s="34"/>
      <c r="BJ246" s="34"/>
      <c r="BK246" s="34"/>
      <c r="BL246" s="34"/>
      <c r="BM246" s="34"/>
      <c r="BN246" s="34"/>
      <c r="BO246" s="34"/>
      <c r="BP246" s="34"/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  <c r="CE246" s="34"/>
    </row>
    <row r="247"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34"/>
      <c r="BC247" s="34"/>
      <c r="BD247" s="34"/>
      <c r="BE247" s="34"/>
      <c r="BF247" s="34"/>
      <c r="BG247" s="34"/>
      <c r="BH247" s="34"/>
      <c r="BI247" s="34"/>
      <c r="BJ247" s="34"/>
      <c r="BK247" s="34"/>
      <c r="BL247" s="34"/>
      <c r="BM247" s="34"/>
      <c r="BN247" s="34"/>
      <c r="BO247" s="34"/>
      <c r="BP247" s="34"/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  <c r="CE247" s="34"/>
    </row>
    <row r="248"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34"/>
      <c r="BC248" s="34"/>
      <c r="BD248" s="34"/>
      <c r="BE248" s="34"/>
      <c r="BF248" s="34"/>
      <c r="BG248" s="34"/>
      <c r="BH248" s="34"/>
      <c r="BI248" s="34"/>
      <c r="BJ248" s="34"/>
      <c r="BK248" s="34"/>
      <c r="BL248" s="34"/>
      <c r="BM248" s="34"/>
      <c r="BN248" s="34"/>
      <c r="BO248" s="34"/>
      <c r="BP248" s="34"/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  <c r="CE248" s="34"/>
    </row>
    <row r="249"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  <c r="BB249" s="34"/>
      <c r="BC249" s="34"/>
      <c r="BD249" s="34"/>
      <c r="BE249" s="34"/>
      <c r="BF249" s="34"/>
      <c r="BG249" s="34"/>
      <c r="BH249" s="34"/>
      <c r="BI249" s="34"/>
      <c r="BJ249" s="34"/>
      <c r="BK249" s="34"/>
      <c r="BL249" s="34"/>
      <c r="BM249" s="34"/>
      <c r="BN249" s="34"/>
      <c r="BO249" s="34"/>
      <c r="BP249" s="34"/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  <c r="CE249" s="34"/>
    </row>
    <row r="250"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  <c r="BB250" s="34"/>
      <c r="BC250" s="34"/>
      <c r="BD250" s="34"/>
      <c r="BE250" s="34"/>
      <c r="BF250" s="34"/>
      <c r="BG250" s="34"/>
      <c r="BH250" s="34"/>
      <c r="BI250" s="34"/>
      <c r="BJ250" s="34"/>
      <c r="BK250" s="34"/>
      <c r="BL250" s="34"/>
      <c r="BM250" s="34"/>
      <c r="BN250" s="34"/>
      <c r="BO250" s="34"/>
      <c r="BP250" s="34"/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  <c r="CE250" s="34"/>
    </row>
    <row r="251"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34"/>
      <c r="BC251" s="34"/>
      <c r="BD251" s="34"/>
      <c r="BE251" s="34"/>
      <c r="BF251" s="34"/>
      <c r="BG251" s="34"/>
      <c r="BH251" s="34"/>
      <c r="BI251" s="34"/>
      <c r="BJ251" s="34"/>
      <c r="BK251" s="34"/>
      <c r="BL251" s="34"/>
      <c r="BM251" s="34"/>
      <c r="BN251" s="34"/>
      <c r="BO251" s="34"/>
      <c r="BP251" s="34"/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  <c r="CE251" s="34"/>
    </row>
    <row r="252"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34"/>
      <c r="BC252" s="34"/>
      <c r="BD252" s="34"/>
      <c r="BE252" s="34"/>
      <c r="BF252" s="34"/>
      <c r="BG252" s="34"/>
      <c r="BH252" s="34"/>
      <c r="BI252" s="34"/>
      <c r="BJ252" s="34"/>
      <c r="BK252" s="34"/>
      <c r="BL252" s="34"/>
      <c r="BM252" s="34"/>
      <c r="BN252" s="34"/>
      <c r="BO252" s="34"/>
      <c r="BP252" s="34"/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  <c r="CE252" s="34"/>
    </row>
    <row r="253"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34"/>
      <c r="BC253" s="34"/>
      <c r="BD253" s="34"/>
      <c r="BE253" s="34"/>
      <c r="BF253" s="34"/>
      <c r="BG253" s="34"/>
      <c r="BH253" s="34"/>
      <c r="BI253" s="34"/>
      <c r="BJ253" s="34"/>
      <c r="BK253" s="34"/>
      <c r="BL253" s="34"/>
      <c r="BM253" s="34"/>
      <c r="BN253" s="34"/>
      <c r="BO253" s="34"/>
      <c r="BP253" s="34"/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  <c r="CE253" s="34"/>
    </row>
    <row r="254"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34"/>
      <c r="BC254" s="34"/>
      <c r="BD254" s="34"/>
      <c r="BE254" s="34"/>
      <c r="BF254" s="34"/>
      <c r="BG254" s="34"/>
      <c r="BH254" s="34"/>
      <c r="BI254" s="34"/>
      <c r="BJ254" s="34"/>
      <c r="BK254" s="34"/>
      <c r="BL254" s="34"/>
      <c r="BM254" s="34"/>
      <c r="BN254" s="34"/>
      <c r="BO254" s="34"/>
      <c r="BP254" s="34"/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  <c r="CE254" s="34"/>
    </row>
    <row r="255"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34"/>
      <c r="BC255" s="34"/>
      <c r="BD255" s="34"/>
      <c r="BE255" s="34"/>
      <c r="BF255" s="34"/>
      <c r="BG255" s="34"/>
      <c r="BH255" s="34"/>
      <c r="BI255" s="34"/>
      <c r="BJ255" s="34"/>
      <c r="BK255" s="34"/>
      <c r="BL255" s="34"/>
      <c r="BM255" s="34"/>
      <c r="BN255" s="34"/>
      <c r="BO255" s="34"/>
      <c r="BP255" s="34"/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  <c r="CE255" s="34"/>
    </row>
    <row r="256"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34"/>
      <c r="BC256" s="34"/>
      <c r="BD256" s="34"/>
      <c r="BE256" s="34"/>
      <c r="BF256" s="34"/>
      <c r="BG256" s="34"/>
      <c r="BH256" s="34"/>
      <c r="BI256" s="34"/>
      <c r="BJ256" s="34"/>
      <c r="BK256" s="34"/>
      <c r="BL256" s="34"/>
      <c r="BM256" s="34"/>
      <c r="BN256" s="34"/>
      <c r="BO256" s="34"/>
      <c r="BP256" s="34"/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  <c r="CE256" s="34"/>
    </row>
    <row r="257"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34"/>
      <c r="BC257" s="34"/>
      <c r="BD257" s="34"/>
      <c r="BE257" s="34"/>
      <c r="BF257" s="34"/>
      <c r="BG257" s="34"/>
      <c r="BH257" s="34"/>
      <c r="BI257" s="34"/>
      <c r="BJ257" s="34"/>
      <c r="BK257" s="34"/>
      <c r="BL257" s="34"/>
      <c r="BM257" s="34"/>
      <c r="BN257" s="34"/>
      <c r="BO257" s="34"/>
      <c r="BP257" s="34"/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  <c r="CE257" s="34"/>
    </row>
    <row r="258"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34"/>
      <c r="BC258" s="34"/>
      <c r="BD258" s="34"/>
      <c r="BE258" s="34"/>
      <c r="BF258" s="34"/>
      <c r="BG258" s="34"/>
      <c r="BH258" s="34"/>
      <c r="BI258" s="34"/>
      <c r="BJ258" s="34"/>
      <c r="BK258" s="34"/>
      <c r="BL258" s="34"/>
      <c r="BM258" s="34"/>
      <c r="BN258" s="34"/>
      <c r="BO258" s="34"/>
      <c r="BP258" s="34"/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  <c r="CE258" s="34"/>
    </row>
    <row r="259"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34"/>
      <c r="BC259" s="34"/>
      <c r="BD259" s="34"/>
      <c r="BE259" s="34"/>
      <c r="BF259" s="34"/>
      <c r="BG259" s="34"/>
      <c r="BH259" s="34"/>
      <c r="BI259" s="34"/>
      <c r="BJ259" s="34"/>
      <c r="BK259" s="34"/>
      <c r="BL259" s="34"/>
      <c r="BM259" s="34"/>
      <c r="BN259" s="34"/>
      <c r="BO259" s="34"/>
      <c r="BP259" s="34"/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  <c r="CE259" s="34"/>
    </row>
    <row r="260"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34"/>
      <c r="BC260" s="34"/>
      <c r="BD260" s="34"/>
      <c r="BE260" s="34"/>
      <c r="BF260" s="34"/>
      <c r="BG260" s="34"/>
      <c r="BH260" s="34"/>
      <c r="BI260" s="34"/>
      <c r="BJ260" s="34"/>
      <c r="BK260" s="34"/>
      <c r="BL260" s="34"/>
      <c r="BM260" s="34"/>
      <c r="BN260" s="34"/>
      <c r="BO260" s="34"/>
      <c r="BP260" s="34"/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  <c r="CE260" s="34"/>
    </row>
    <row r="261"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34"/>
      <c r="BC261" s="34"/>
      <c r="BD261" s="34"/>
      <c r="BE261" s="34"/>
      <c r="BF261" s="34"/>
      <c r="BG261" s="34"/>
      <c r="BH261" s="34"/>
      <c r="BI261" s="34"/>
      <c r="BJ261" s="34"/>
      <c r="BK261" s="34"/>
      <c r="BL261" s="34"/>
      <c r="BM261" s="34"/>
      <c r="BN261" s="34"/>
      <c r="BO261" s="34"/>
      <c r="BP261" s="34"/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  <c r="CE261" s="34"/>
    </row>
    <row r="262"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  <c r="BB262" s="34"/>
      <c r="BC262" s="34"/>
      <c r="BD262" s="34"/>
      <c r="BE262" s="34"/>
      <c r="BF262" s="34"/>
      <c r="BG262" s="34"/>
      <c r="BH262" s="34"/>
      <c r="BI262" s="34"/>
      <c r="BJ262" s="34"/>
      <c r="BK262" s="34"/>
      <c r="BL262" s="34"/>
      <c r="BM262" s="34"/>
      <c r="BN262" s="34"/>
      <c r="BO262" s="34"/>
      <c r="BP262" s="34"/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  <c r="CE262" s="34"/>
    </row>
    <row r="263"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34"/>
      <c r="BC263" s="34"/>
      <c r="BD263" s="34"/>
      <c r="BE263" s="34"/>
      <c r="BF263" s="34"/>
      <c r="BG263" s="34"/>
      <c r="BH263" s="34"/>
      <c r="BI263" s="34"/>
      <c r="BJ263" s="34"/>
      <c r="BK263" s="34"/>
      <c r="BL263" s="34"/>
      <c r="BM263" s="34"/>
      <c r="BN263" s="34"/>
      <c r="BO263" s="34"/>
      <c r="BP263" s="34"/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  <c r="CE263" s="34"/>
    </row>
    <row r="264"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</row>
    <row r="265"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34"/>
      <c r="BC265" s="34"/>
      <c r="BD265" s="34"/>
      <c r="BE265" s="34"/>
      <c r="BF265" s="34"/>
      <c r="BG265" s="34"/>
      <c r="BH265" s="34"/>
      <c r="BI265" s="34"/>
      <c r="BJ265" s="34"/>
      <c r="BK265" s="34"/>
      <c r="BL265" s="34"/>
      <c r="BM265" s="34"/>
      <c r="BN265" s="34"/>
      <c r="BO265" s="34"/>
      <c r="BP265" s="34"/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  <c r="CE265" s="34"/>
    </row>
    <row r="266"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  <c r="BB266" s="34"/>
      <c r="BC266" s="34"/>
      <c r="BD266" s="34"/>
      <c r="BE266" s="34"/>
      <c r="BF266" s="34"/>
      <c r="BG266" s="34"/>
      <c r="BH266" s="34"/>
      <c r="BI266" s="34"/>
      <c r="BJ266" s="34"/>
      <c r="BK266" s="34"/>
      <c r="BL266" s="34"/>
      <c r="BM266" s="34"/>
      <c r="BN266" s="34"/>
      <c r="BO266" s="34"/>
      <c r="BP266" s="34"/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  <c r="CE266" s="34"/>
    </row>
    <row r="267"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  <c r="BB267" s="34"/>
      <c r="BC267" s="34"/>
      <c r="BD267" s="34"/>
      <c r="BE267" s="34"/>
      <c r="BF267" s="34"/>
      <c r="BG267" s="34"/>
      <c r="BH267" s="34"/>
      <c r="BI267" s="34"/>
      <c r="BJ267" s="34"/>
      <c r="BK267" s="34"/>
      <c r="BL267" s="34"/>
      <c r="BM267" s="34"/>
      <c r="BN267" s="34"/>
      <c r="BO267" s="34"/>
      <c r="BP267" s="34"/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  <c r="CE267" s="34"/>
    </row>
    <row r="268"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  <c r="BB268" s="34"/>
      <c r="BC268" s="34"/>
      <c r="BD268" s="34"/>
      <c r="BE268" s="34"/>
      <c r="BF268" s="34"/>
      <c r="BG268" s="34"/>
      <c r="BH268" s="34"/>
      <c r="BI268" s="34"/>
      <c r="BJ268" s="34"/>
      <c r="BK268" s="34"/>
      <c r="BL268" s="34"/>
      <c r="BM268" s="34"/>
      <c r="BN268" s="34"/>
      <c r="BO268" s="34"/>
      <c r="BP268" s="34"/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  <c r="CE268" s="34"/>
    </row>
    <row r="269"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34"/>
      <c r="AW269" s="34"/>
      <c r="AX269" s="34"/>
      <c r="AY269" s="34"/>
      <c r="AZ269" s="34"/>
      <c r="BA269" s="34"/>
      <c r="BB269" s="34"/>
      <c r="BC269" s="34"/>
      <c r="BD269" s="34"/>
      <c r="BE269" s="34"/>
      <c r="BF269" s="34"/>
      <c r="BG269" s="34"/>
      <c r="BH269" s="34"/>
      <c r="BI269" s="34"/>
      <c r="BJ269" s="34"/>
      <c r="BK269" s="34"/>
      <c r="BL269" s="34"/>
      <c r="BM269" s="34"/>
      <c r="BN269" s="34"/>
      <c r="BO269" s="34"/>
      <c r="BP269" s="34"/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  <c r="CE269" s="34"/>
    </row>
    <row r="270"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  <c r="BB270" s="34"/>
      <c r="BC270" s="34"/>
      <c r="BD270" s="34"/>
      <c r="BE270" s="34"/>
      <c r="BF270" s="34"/>
      <c r="BG270" s="34"/>
      <c r="BH270" s="34"/>
      <c r="BI270" s="34"/>
      <c r="BJ270" s="34"/>
      <c r="BK270" s="34"/>
      <c r="BL270" s="34"/>
      <c r="BM270" s="34"/>
      <c r="BN270" s="34"/>
      <c r="BO270" s="34"/>
      <c r="BP270" s="34"/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  <c r="CE270" s="34"/>
    </row>
    <row r="271"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34"/>
      <c r="BC271" s="34"/>
      <c r="BD271" s="34"/>
      <c r="BE271" s="34"/>
      <c r="BF271" s="34"/>
      <c r="BG271" s="34"/>
      <c r="BH271" s="34"/>
      <c r="BI271" s="34"/>
      <c r="BJ271" s="34"/>
      <c r="BK271" s="34"/>
      <c r="BL271" s="34"/>
      <c r="BM271" s="34"/>
      <c r="BN271" s="34"/>
      <c r="BO271" s="34"/>
      <c r="BP271" s="34"/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  <c r="CE271" s="34"/>
    </row>
    <row r="272"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34"/>
      <c r="BC272" s="34"/>
      <c r="BD272" s="34"/>
      <c r="BE272" s="34"/>
      <c r="BF272" s="34"/>
      <c r="BG272" s="34"/>
      <c r="BH272" s="34"/>
      <c r="BI272" s="34"/>
      <c r="BJ272" s="34"/>
      <c r="BK272" s="34"/>
      <c r="BL272" s="34"/>
      <c r="BM272" s="34"/>
      <c r="BN272" s="34"/>
      <c r="BO272" s="34"/>
      <c r="BP272" s="34"/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  <c r="CE272" s="34"/>
    </row>
    <row r="273"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34"/>
      <c r="BC273" s="34"/>
      <c r="BD273" s="34"/>
      <c r="BE273" s="34"/>
      <c r="BF273" s="34"/>
      <c r="BG273" s="34"/>
      <c r="BH273" s="34"/>
      <c r="BI273" s="34"/>
      <c r="BJ273" s="34"/>
      <c r="BK273" s="34"/>
      <c r="BL273" s="34"/>
      <c r="BM273" s="34"/>
      <c r="BN273" s="34"/>
      <c r="BO273" s="34"/>
      <c r="BP273" s="34"/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  <c r="CE273" s="34"/>
    </row>
    <row r="274"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  <c r="CE274" s="34"/>
    </row>
    <row r="275"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</row>
    <row r="276"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  <c r="CE276" s="34"/>
    </row>
    <row r="277"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  <c r="CE277" s="34"/>
    </row>
    <row r="278"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  <c r="CE278" s="34"/>
    </row>
    <row r="279"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  <c r="CE279" s="34"/>
    </row>
    <row r="280"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  <c r="CE280" s="34"/>
    </row>
    <row r="281"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  <c r="CE281" s="34"/>
    </row>
    <row r="282"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  <c r="CE282" s="34"/>
    </row>
    <row r="283"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</row>
    <row r="284"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  <c r="CE284" s="34"/>
    </row>
    <row r="285"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  <c r="CE285" s="34"/>
    </row>
    <row r="286"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  <c r="CE286" s="34"/>
    </row>
    <row r="287"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  <c r="CE287" s="34"/>
    </row>
    <row r="288"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  <c r="CE288" s="34"/>
    </row>
    <row r="289"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  <c r="CE289" s="34"/>
    </row>
    <row r="290"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  <c r="CE290" s="34"/>
    </row>
    <row r="291"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  <c r="CE291" s="34"/>
    </row>
    <row r="292"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  <c r="CE292" s="34"/>
    </row>
    <row r="293"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  <c r="CE293" s="34"/>
    </row>
    <row r="294"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  <c r="CE294" s="34"/>
    </row>
    <row r="295"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  <c r="CE295" s="34"/>
    </row>
    <row r="296"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  <c r="CE296" s="34"/>
    </row>
    <row r="297"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  <c r="CE297" s="34"/>
    </row>
    <row r="298"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  <c r="CE298" s="34"/>
    </row>
    <row r="299"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  <c r="CE299" s="34"/>
    </row>
    <row r="300"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  <c r="CE300" s="34"/>
    </row>
    <row r="301"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  <c r="CE301" s="34"/>
    </row>
    <row r="302"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  <c r="CE302" s="34"/>
    </row>
    <row r="303"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  <c r="CE303" s="34"/>
    </row>
    <row r="304"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  <c r="CE304" s="34"/>
    </row>
    <row r="305"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  <c r="CE305" s="34"/>
    </row>
    <row r="306"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  <c r="CE306" s="34"/>
    </row>
    <row r="307"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  <c r="CE307" s="34"/>
    </row>
    <row r="308"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  <c r="CE308" s="34"/>
    </row>
    <row r="309"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  <c r="CE309" s="34"/>
    </row>
    <row r="310"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  <c r="CE310" s="34"/>
    </row>
    <row r="311"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  <c r="CE311" s="34"/>
    </row>
    <row r="312"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  <c r="CE312" s="34"/>
    </row>
    <row r="313"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  <c r="CE313" s="34"/>
    </row>
    <row r="314"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  <c r="CE314" s="34"/>
    </row>
    <row r="315"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  <c r="CE315" s="34"/>
    </row>
    <row r="316"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  <c r="CE316" s="34"/>
    </row>
    <row r="317"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  <c r="CE317" s="34"/>
    </row>
    <row r="318"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  <c r="CE318" s="34"/>
    </row>
    <row r="319"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  <c r="CE319" s="34"/>
    </row>
    <row r="320"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  <c r="CE320" s="34"/>
    </row>
    <row r="321"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  <c r="CE321" s="34"/>
    </row>
    <row r="322"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  <c r="CE322" s="34"/>
    </row>
    <row r="323"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  <c r="CE323" s="34"/>
    </row>
    <row r="324"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  <c r="CE324" s="34"/>
    </row>
    <row r="325"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  <c r="CE325" s="34"/>
    </row>
    <row r="326"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  <c r="CE326" s="34"/>
    </row>
    <row r="327"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  <c r="CE327" s="34"/>
    </row>
    <row r="328"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  <c r="CE328" s="34"/>
    </row>
    <row r="329"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  <c r="CE329" s="34"/>
    </row>
    <row r="330"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  <c r="CE330" s="34"/>
    </row>
    <row r="331"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  <c r="CE331" s="34"/>
    </row>
    <row r="332"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  <c r="CE332" s="34"/>
    </row>
    <row r="333"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  <c r="CE333" s="34"/>
    </row>
    <row r="334"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  <c r="CE334" s="34"/>
    </row>
    <row r="335"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  <c r="CE335" s="34"/>
    </row>
    <row r="336"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  <c r="CE336" s="34"/>
    </row>
    <row r="337"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  <c r="CE337" s="34"/>
    </row>
    <row r="338"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  <c r="CE338" s="34"/>
    </row>
    <row r="339"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  <c r="CE339" s="34"/>
    </row>
    <row r="340"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  <c r="CE340" s="34"/>
    </row>
    <row r="341"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  <c r="CE341" s="34"/>
    </row>
    <row r="342"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  <c r="CE342" s="34"/>
    </row>
    <row r="343"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  <c r="CE343" s="34"/>
    </row>
    <row r="344"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  <c r="CE344" s="34"/>
    </row>
    <row r="345"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  <c r="CE345" s="34"/>
    </row>
    <row r="346"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  <c r="CE346" s="34"/>
    </row>
    <row r="347"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  <c r="CE347" s="34"/>
    </row>
    <row r="348"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  <c r="CE348" s="34"/>
    </row>
    <row r="349"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  <c r="CE349" s="34"/>
    </row>
    <row r="350"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  <c r="CE350" s="34"/>
    </row>
    <row r="351"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  <c r="CE351" s="34"/>
    </row>
    <row r="352"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  <c r="CE352" s="34"/>
    </row>
    <row r="353"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  <c r="CE353" s="34"/>
    </row>
    <row r="354"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  <c r="CE354" s="34"/>
    </row>
    <row r="355"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  <c r="CE355" s="34"/>
    </row>
    <row r="356"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  <c r="CE356" s="34"/>
    </row>
    <row r="357"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  <c r="CE357" s="34"/>
    </row>
    <row r="358"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  <c r="CE358" s="34"/>
    </row>
    <row r="359"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  <c r="CE359" s="34"/>
    </row>
    <row r="360"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  <c r="CE360" s="34"/>
    </row>
    <row r="361"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  <c r="CE361" s="34"/>
    </row>
    <row r="362"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  <c r="CE362" s="34"/>
    </row>
    <row r="363"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  <c r="CE363" s="34"/>
    </row>
    <row r="364"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  <c r="CE364" s="34"/>
    </row>
    <row r="365"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  <c r="CE365" s="34"/>
    </row>
    <row r="366"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  <c r="CE366" s="34"/>
    </row>
    <row r="367"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  <c r="CE367" s="34"/>
    </row>
    <row r="368"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  <c r="CE368" s="34"/>
    </row>
    <row r="369"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  <c r="CE369" s="34"/>
    </row>
    <row r="370"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  <c r="CE370" s="34"/>
    </row>
    <row r="371"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  <c r="CE371" s="34"/>
    </row>
    <row r="372"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  <c r="CE372" s="34"/>
    </row>
    <row r="373"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  <c r="CE373" s="34"/>
    </row>
    <row r="374"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  <c r="CE374" s="34"/>
    </row>
    <row r="375"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  <c r="CE375" s="34"/>
    </row>
    <row r="376"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  <c r="CE376" s="34"/>
    </row>
    <row r="377"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  <c r="CE377" s="34"/>
    </row>
    <row r="378"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  <c r="CE378" s="34"/>
    </row>
    <row r="379"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  <c r="CE379" s="34"/>
    </row>
    <row r="380"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  <c r="CE380" s="34"/>
    </row>
    <row r="381"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  <c r="CE381" s="34"/>
    </row>
    <row r="382"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  <c r="CE382" s="34"/>
    </row>
    <row r="383"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  <c r="CE383" s="34"/>
    </row>
    <row r="384"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  <c r="CE384" s="34"/>
    </row>
    <row r="385"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  <c r="CE385" s="34"/>
    </row>
    <row r="386"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  <c r="CE386" s="34"/>
    </row>
    <row r="387"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  <c r="CE387" s="34"/>
    </row>
    <row r="388"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  <c r="CE388" s="34"/>
    </row>
    <row r="389"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  <c r="CE389" s="34"/>
    </row>
    <row r="390"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  <c r="CE390" s="34"/>
    </row>
    <row r="391"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  <c r="CE391" s="34"/>
    </row>
    <row r="392"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  <c r="CE392" s="34"/>
    </row>
    <row r="393"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  <c r="CE393" s="34"/>
    </row>
    <row r="394"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  <c r="CE394" s="34"/>
    </row>
    <row r="395"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  <c r="CE395" s="34"/>
    </row>
    <row r="396"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  <c r="CE396" s="34"/>
    </row>
    <row r="397"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  <c r="CE397" s="34"/>
    </row>
    <row r="398"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  <c r="CE398" s="34"/>
    </row>
    <row r="399"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  <c r="CE399" s="34"/>
    </row>
    <row r="400"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  <c r="CE400" s="34"/>
    </row>
    <row r="401"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  <c r="CE401" s="34"/>
    </row>
    <row r="402"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  <c r="CE402" s="34"/>
    </row>
    <row r="403"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  <c r="CE403" s="34"/>
    </row>
    <row r="404"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  <c r="CE404" s="34"/>
    </row>
    <row r="405"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  <c r="CE405" s="34"/>
    </row>
    <row r="406"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  <c r="CE406" s="34"/>
    </row>
    <row r="407"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  <c r="CE407" s="34"/>
    </row>
    <row r="408"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  <c r="CE408" s="34"/>
    </row>
    <row r="409"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  <c r="CE409" s="34"/>
    </row>
    <row r="410"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  <c r="CE410" s="34"/>
    </row>
    <row r="411"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  <c r="CE411" s="34"/>
    </row>
    <row r="412"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  <c r="CE412" s="34"/>
    </row>
    <row r="413"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  <c r="CE413" s="34"/>
    </row>
    <row r="414"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  <c r="CE414" s="34"/>
    </row>
    <row r="415"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  <c r="CE415" s="34"/>
    </row>
    <row r="416"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  <c r="CE416" s="34"/>
    </row>
    <row r="417"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  <c r="CE417" s="34"/>
    </row>
    <row r="418"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  <c r="CE418" s="34"/>
    </row>
    <row r="419"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  <c r="CE419" s="34"/>
    </row>
    <row r="420"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  <c r="CE420" s="34"/>
    </row>
    <row r="421"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  <c r="CE421" s="34"/>
    </row>
    <row r="422"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  <c r="CE422" s="34"/>
    </row>
    <row r="423"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  <c r="CE423" s="34"/>
    </row>
    <row r="424"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  <c r="CE424" s="34"/>
    </row>
    <row r="425"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  <c r="CE425" s="34"/>
    </row>
    <row r="426"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  <c r="CE426" s="34"/>
    </row>
    <row r="427"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  <c r="CE427" s="34"/>
    </row>
    <row r="428"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  <c r="CE428" s="34"/>
    </row>
    <row r="429"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  <c r="CE429" s="34"/>
    </row>
    <row r="430"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  <c r="CE430" s="34"/>
    </row>
    <row r="431"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  <c r="CE431" s="34"/>
    </row>
    <row r="432"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  <c r="CE432" s="34"/>
    </row>
    <row r="433"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  <c r="CE433" s="34"/>
    </row>
    <row r="434"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  <c r="CE434" s="34"/>
    </row>
    <row r="435"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  <c r="CE435" s="34"/>
    </row>
    <row r="436"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  <c r="CE436" s="34"/>
    </row>
    <row r="437"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  <c r="CE437" s="34"/>
    </row>
    <row r="438"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  <c r="CE438" s="34"/>
    </row>
    <row r="439"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  <c r="CE439" s="34"/>
    </row>
    <row r="440"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  <c r="CE440" s="34"/>
    </row>
    <row r="441"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  <c r="CE441" s="34"/>
    </row>
    <row r="442"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  <c r="CE442" s="34"/>
    </row>
    <row r="443"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  <c r="CE443" s="34"/>
    </row>
    <row r="444"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  <c r="CE444" s="34"/>
    </row>
    <row r="445"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  <c r="CE445" s="34"/>
    </row>
    <row r="446"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  <c r="CE446" s="34"/>
    </row>
    <row r="447"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  <c r="CE447" s="34"/>
    </row>
    <row r="448"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  <c r="CE448" s="34"/>
    </row>
    <row r="449"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  <c r="CE449" s="34"/>
    </row>
    <row r="450"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  <c r="CE450" s="34"/>
    </row>
    <row r="451"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  <c r="CE451" s="34"/>
    </row>
    <row r="452"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  <c r="CE452" s="34"/>
    </row>
    <row r="453"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  <c r="CE453" s="34"/>
    </row>
    <row r="454"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  <c r="CE454" s="34"/>
    </row>
    <row r="455"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  <c r="CE455" s="34"/>
    </row>
    <row r="456"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  <c r="CE456" s="34"/>
    </row>
    <row r="457"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  <c r="CE457" s="34"/>
    </row>
    <row r="458"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  <c r="CE458" s="34"/>
    </row>
    <row r="459"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  <c r="CE459" s="34"/>
    </row>
    <row r="460"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  <c r="CE460" s="34"/>
    </row>
    <row r="461"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  <c r="CE461" s="34"/>
    </row>
    <row r="462"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  <c r="CE462" s="34"/>
    </row>
    <row r="463"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  <c r="CE463" s="34"/>
    </row>
    <row r="464"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  <c r="CE464" s="34"/>
    </row>
    <row r="465"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  <c r="CE465" s="34"/>
    </row>
    <row r="466"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  <c r="CE466" s="34"/>
    </row>
    <row r="467"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  <c r="CE467" s="34"/>
    </row>
    <row r="468"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  <c r="CE468" s="34"/>
    </row>
    <row r="469"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  <c r="CE469" s="34"/>
    </row>
    <row r="470"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  <c r="CE470" s="34"/>
    </row>
    <row r="471"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  <c r="CE471" s="34"/>
    </row>
    <row r="472"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  <c r="CE472" s="34"/>
    </row>
    <row r="473"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  <c r="CE473" s="34"/>
    </row>
    <row r="474"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  <c r="CE474" s="34"/>
    </row>
    <row r="475"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  <c r="CE475" s="34"/>
    </row>
    <row r="476"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  <c r="CE476" s="34"/>
    </row>
    <row r="477"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  <c r="CE477" s="34"/>
    </row>
    <row r="478"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  <c r="CE478" s="34"/>
    </row>
    <row r="479"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  <c r="CE479" s="34"/>
    </row>
    <row r="480"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  <c r="CE480" s="34"/>
    </row>
    <row r="481"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  <c r="CE481" s="34"/>
    </row>
    <row r="482"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  <c r="CE482" s="34"/>
    </row>
    <row r="483"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  <c r="CE483" s="34"/>
    </row>
    <row r="484"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  <c r="CE484" s="34"/>
    </row>
    <row r="485"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  <c r="CE485" s="34"/>
    </row>
    <row r="486"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  <c r="CE486" s="34"/>
    </row>
    <row r="487"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  <c r="CE487" s="34"/>
    </row>
    <row r="488"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  <c r="CE488" s="34"/>
    </row>
    <row r="489"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  <c r="CE489" s="34"/>
    </row>
    <row r="490"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  <c r="CE490" s="34"/>
    </row>
    <row r="491"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  <c r="CE491" s="34"/>
    </row>
    <row r="492"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  <c r="CE492" s="34"/>
    </row>
    <row r="493"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  <c r="CE493" s="34"/>
    </row>
    <row r="494"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  <c r="CE494" s="34"/>
    </row>
    <row r="495"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  <c r="CE495" s="34"/>
    </row>
    <row r="496"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  <c r="CE496" s="34"/>
    </row>
    <row r="497"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  <c r="CE497" s="34"/>
    </row>
    <row r="498"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  <c r="CE498" s="34"/>
    </row>
    <row r="499"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  <c r="CE499" s="34"/>
    </row>
    <row r="500"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  <c r="CE500" s="34"/>
    </row>
    <row r="501"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  <c r="CE501" s="34"/>
    </row>
    <row r="502"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  <c r="CE502" s="34"/>
    </row>
    <row r="503"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  <c r="CE503" s="34"/>
    </row>
    <row r="504"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  <c r="CE504" s="34"/>
    </row>
    <row r="505"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  <c r="CE505" s="34"/>
    </row>
    <row r="506"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  <c r="CE506" s="34"/>
    </row>
    <row r="507"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  <c r="CE507" s="34"/>
    </row>
    <row r="508"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  <c r="CE508" s="34"/>
    </row>
    <row r="509"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  <c r="CE509" s="34"/>
    </row>
    <row r="510"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  <c r="CE510" s="34"/>
    </row>
    <row r="511"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  <c r="CE511" s="34"/>
    </row>
    <row r="512"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  <c r="CE512" s="34"/>
    </row>
    <row r="513"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  <c r="CE513" s="34"/>
    </row>
    <row r="514"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  <c r="CE514" s="34"/>
    </row>
    <row r="515"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  <c r="CE515" s="34"/>
    </row>
    <row r="516"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  <c r="CE516" s="34"/>
    </row>
    <row r="517"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  <c r="CE517" s="34"/>
    </row>
    <row r="518"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  <c r="CE518" s="34"/>
    </row>
    <row r="519"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  <c r="CE519" s="34"/>
    </row>
    <row r="520"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  <c r="CE520" s="34"/>
    </row>
    <row r="521"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  <c r="CE521" s="34"/>
    </row>
    <row r="522"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  <c r="CE522" s="34"/>
    </row>
    <row r="523"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  <c r="CE523" s="34"/>
    </row>
    <row r="524"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  <c r="CE524" s="34"/>
    </row>
    <row r="525"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  <c r="CE525" s="34"/>
    </row>
    <row r="526"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  <c r="CE526" s="34"/>
    </row>
    <row r="527"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  <c r="CE527" s="34"/>
    </row>
    <row r="528"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  <c r="CE528" s="34"/>
    </row>
    <row r="529"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  <c r="CE529" s="34"/>
    </row>
    <row r="530"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  <c r="CE530" s="34"/>
    </row>
    <row r="531"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  <c r="CE531" s="34"/>
    </row>
    <row r="532"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  <c r="CE532" s="34"/>
    </row>
    <row r="533"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  <c r="CE533" s="34"/>
    </row>
    <row r="534"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  <c r="CE534" s="34"/>
    </row>
    <row r="535"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  <c r="CE535" s="34"/>
    </row>
    <row r="536"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  <c r="CE536" s="34"/>
    </row>
    <row r="537"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  <c r="CE537" s="34"/>
    </row>
    <row r="538"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  <c r="CE538" s="34"/>
    </row>
    <row r="539"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  <c r="CE539" s="34"/>
    </row>
    <row r="540"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  <c r="CE540" s="34"/>
    </row>
    <row r="541"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  <c r="CE541" s="34"/>
    </row>
    <row r="542"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  <c r="CE542" s="34"/>
    </row>
    <row r="543"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  <c r="CE543" s="34"/>
    </row>
    <row r="544"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  <c r="CE544" s="34"/>
    </row>
    <row r="545"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  <c r="CE545" s="34"/>
    </row>
    <row r="546"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  <c r="CE546" s="34"/>
    </row>
    <row r="547"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  <c r="CE547" s="34"/>
    </row>
    <row r="548"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  <c r="CE548" s="34"/>
    </row>
    <row r="549"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  <c r="CE549" s="34"/>
    </row>
    <row r="550"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  <c r="CE550" s="34"/>
    </row>
    <row r="551"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  <c r="CE551" s="34"/>
    </row>
    <row r="552"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  <c r="CE552" s="34"/>
    </row>
    <row r="553"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  <c r="CE553" s="34"/>
    </row>
    <row r="554"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  <c r="CE554" s="34"/>
    </row>
    <row r="555"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  <c r="CE555" s="34"/>
    </row>
    <row r="556"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  <c r="CE556" s="34"/>
    </row>
    <row r="557"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  <c r="CE557" s="34"/>
    </row>
    <row r="558"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  <c r="CE558" s="34"/>
    </row>
    <row r="559"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  <c r="CE559" s="34"/>
    </row>
    <row r="560"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  <c r="CE560" s="34"/>
    </row>
    <row r="561"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  <c r="CE561" s="34"/>
    </row>
    <row r="562"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  <c r="CE562" s="34"/>
    </row>
    <row r="563"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  <c r="CE563" s="34"/>
    </row>
    <row r="564"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  <c r="CE564" s="34"/>
    </row>
    <row r="565"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  <c r="CE565" s="34"/>
    </row>
    <row r="566"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  <c r="CE566" s="34"/>
    </row>
    <row r="567"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  <c r="CE567" s="34"/>
    </row>
    <row r="568"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  <c r="CE568" s="34"/>
    </row>
    <row r="569"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  <c r="CE569" s="34"/>
    </row>
    <row r="570"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  <c r="CE570" s="34"/>
    </row>
    <row r="571"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  <c r="CE571" s="34"/>
    </row>
    <row r="572"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  <c r="CE572" s="34"/>
    </row>
    <row r="573"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  <c r="CE573" s="34"/>
    </row>
    <row r="574"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  <c r="CE574" s="34"/>
    </row>
    <row r="575"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  <c r="CE575" s="34"/>
    </row>
    <row r="576"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  <c r="CE576" s="34"/>
    </row>
    <row r="577"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  <c r="CE577" s="34"/>
    </row>
    <row r="578"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  <c r="CE578" s="34"/>
    </row>
    <row r="579"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  <c r="CE579" s="34"/>
    </row>
    <row r="580"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  <c r="CE580" s="34"/>
    </row>
    <row r="581"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  <c r="CE581" s="34"/>
    </row>
    <row r="582"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  <c r="CE582" s="34"/>
    </row>
    <row r="583"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  <c r="CE583" s="34"/>
    </row>
    <row r="584"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  <c r="CE584" s="34"/>
    </row>
    <row r="585"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  <c r="CE585" s="34"/>
    </row>
    <row r="586"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  <c r="CE586" s="34"/>
    </row>
    <row r="587"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  <c r="CE587" s="34"/>
    </row>
    <row r="588"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  <c r="CE588" s="34"/>
    </row>
    <row r="589"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  <c r="CE589" s="34"/>
    </row>
    <row r="590"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  <c r="CE590" s="34"/>
    </row>
    <row r="591"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  <c r="CE591" s="34"/>
    </row>
    <row r="592"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  <c r="CE592" s="34"/>
    </row>
    <row r="593"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  <c r="CE593" s="34"/>
    </row>
    <row r="594"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  <c r="CE594" s="34"/>
    </row>
    <row r="595"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  <c r="CE595" s="34"/>
    </row>
    <row r="596"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  <c r="CE596" s="34"/>
    </row>
    <row r="597"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  <c r="CE597" s="34"/>
    </row>
    <row r="598"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  <c r="CE598" s="34"/>
    </row>
    <row r="599"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  <c r="CE599" s="34"/>
    </row>
    <row r="600"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  <c r="CE600" s="34"/>
    </row>
    <row r="601"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  <c r="CE601" s="34"/>
    </row>
    <row r="602"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  <c r="CE602" s="34"/>
    </row>
    <row r="603"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  <c r="CE603" s="34"/>
    </row>
    <row r="604"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  <c r="CE604" s="34"/>
    </row>
    <row r="605"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  <c r="CE605" s="34"/>
    </row>
    <row r="606"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  <c r="CE606" s="34"/>
    </row>
    <row r="607"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  <c r="CE607" s="34"/>
    </row>
    <row r="608"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  <c r="CE608" s="34"/>
    </row>
    <row r="609"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  <c r="CE609" s="34"/>
    </row>
    <row r="610"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  <c r="CE610" s="34"/>
    </row>
    <row r="611"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  <c r="CE611" s="34"/>
    </row>
    <row r="612">
      <c r="AL612" s="34"/>
      <c r="AM612" s="34"/>
      <c r="AN612" s="34"/>
      <c r="AO612" s="34"/>
      <c r="AP612" s="34"/>
      <c r="AQ612" s="34"/>
      <c r="AR612" s="34"/>
      <c r="AS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  <c r="CE612" s="34"/>
    </row>
    <row r="613"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  <c r="CE613" s="34"/>
    </row>
    <row r="614"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  <c r="CE614" s="34"/>
    </row>
    <row r="615"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  <c r="CE615" s="34"/>
    </row>
    <row r="616">
      <c r="AL616" s="34"/>
      <c r="AM616" s="34"/>
      <c r="AN616" s="34"/>
      <c r="AO616" s="34"/>
      <c r="AP616" s="34"/>
      <c r="AQ616" s="34"/>
      <c r="AR616" s="34"/>
      <c r="AS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  <c r="CE616" s="34"/>
    </row>
    <row r="617"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  <c r="CE617" s="34"/>
    </row>
    <row r="618"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  <c r="CE618" s="34"/>
    </row>
    <row r="619"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  <c r="CE619" s="34"/>
    </row>
    <row r="620">
      <c r="AL620" s="34"/>
      <c r="AM620" s="34"/>
      <c r="AN620" s="34"/>
      <c r="AO620" s="34"/>
      <c r="AP620" s="34"/>
      <c r="AQ620" s="34"/>
      <c r="AR620" s="34"/>
      <c r="AS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  <c r="CE620" s="34"/>
    </row>
    <row r="621"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  <c r="CE621" s="34"/>
    </row>
    <row r="622"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  <c r="CE622" s="34"/>
    </row>
    <row r="623">
      <c r="AL623" s="34"/>
      <c r="AM623" s="34"/>
      <c r="AN623" s="34"/>
      <c r="AO623" s="34"/>
      <c r="AP623" s="34"/>
      <c r="AQ623" s="34"/>
      <c r="AR623" s="34"/>
      <c r="AS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  <c r="CE623" s="34"/>
    </row>
    <row r="624"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  <c r="CE624" s="34"/>
    </row>
    <row r="625"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  <c r="CE625" s="34"/>
    </row>
    <row r="626"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  <c r="CE626" s="34"/>
    </row>
    <row r="627">
      <c r="AL627" s="34"/>
      <c r="AM627" s="34"/>
      <c r="AN627" s="34"/>
      <c r="AO627" s="34"/>
      <c r="AP627" s="34"/>
      <c r="AQ627" s="34"/>
      <c r="AR627" s="34"/>
      <c r="AS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  <c r="CE627" s="34"/>
    </row>
    <row r="628"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  <c r="CE628" s="34"/>
    </row>
    <row r="629"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  <c r="CE629" s="34"/>
    </row>
    <row r="630"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  <c r="CE630" s="34"/>
    </row>
    <row r="631">
      <c r="AL631" s="34"/>
      <c r="AM631" s="34"/>
      <c r="AN631" s="34"/>
      <c r="AO631" s="34"/>
      <c r="AP631" s="34"/>
      <c r="AQ631" s="34"/>
      <c r="AR631" s="34"/>
      <c r="AS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  <c r="CE631" s="34"/>
    </row>
    <row r="632"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  <c r="CE632" s="34"/>
    </row>
    <row r="633"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  <c r="CE633" s="34"/>
    </row>
    <row r="634">
      <c r="AL634" s="34"/>
      <c r="AM634" s="34"/>
      <c r="AN634" s="34"/>
      <c r="AO634" s="34"/>
      <c r="AP634" s="34"/>
      <c r="AQ634" s="34"/>
      <c r="AR634" s="34"/>
      <c r="AS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  <c r="CE634" s="34"/>
    </row>
    <row r="635"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  <c r="CE635" s="34"/>
    </row>
    <row r="636"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  <c r="CE636" s="34"/>
    </row>
    <row r="637"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  <c r="CE637" s="34"/>
    </row>
    <row r="638">
      <c r="AL638" s="34"/>
      <c r="AM638" s="34"/>
      <c r="AN638" s="34"/>
      <c r="AO638" s="34"/>
      <c r="AP638" s="34"/>
      <c r="AQ638" s="34"/>
      <c r="AR638" s="34"/>
      <c r="AS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  <c r="CE638" s="34"/>
    </row>
    <row r="639"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  <c r="CE639" s="34"/>
    </row>
    <row r="640"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  <c r="CE640" s="34"/>
    </row>
    <row r="641"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  <c r="CE641" s="34"/>
    </row>
    <row r="642">
      <c r="AL642" s="34"/>
      <c r="AM642" s="34"/>
      <c r="AN642" s="34"/>
      <c r="AO642" s="34"/>
      <c r="AP642" s="34"/>
      <c r="AQ642" s="34"/>
      <c r="AR642" s="34"/>
      <c r="AS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  <c r="CE642" s="34"/>
    </row>
    <row r="643"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  <c r="CE643" s="34"/>
    </row>
    <row r="644"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  <c r="CE644" s="34"/>
    </row>
    <row r="645"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  <c r="CE645" s="34"/>
    </row>
    <row r="646"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  <c r="CE646" s="34"/>
    </row>
    <row r="647"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  <c r="CE647" s="34"/>
    </row>
    <row r="648"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  <c r="CE648" s="34"/>
    </row>
    <row r="649"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  <c r="CE649" s="34"/>
    </row>
    <row r="650">
      <c r="AL650" s="34"/>
      <c r="AM650" s="34"/>
      <c r="AN650" s="34"/>
      <c r="AO650" s="34"/>
      <c r="AP650" s="34"/>
      <c r="AQ650" s="34"/>
      <c r="AR650" s="34"/>
      <c r="AS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  <c r="CE650" s="34"/>
    </row>
    <row r="651"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  <c r="CE651" s="34"/>
    </row>
    <row r="652"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  <c r="CE652" s="34"/>
    </row>
    <row r="653"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  <c r="CE653" s="34"/>
    </row>
    <row r="654">
      <c r="AL654" s="34"/>
      <c r="AM654" s="34"/>
      <c r="AN654" s="34"/>
      <c r="AO654" s="34"/>
      <c r="AP654" s="34"/>
      <c r="AQ654" s="34"/>
      <c r="AR654" s="34"/>
      <c r="AS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  <c r="CE654" s="34"/>
    </row>
    <row r="655">
      <c r="AL655" s="34"/>
      <c r="AM655" s="34"/>
      <c r="AN655" s="34"/>
      <c r="AO655" s="34"/>
      <c r="AP655" s="34"/>
      <c r="AQ655" s="34"/>
      <c r="AR655" s="34"/>
      <c r="AS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  <c r="CE655" s="34"/>
    </row>
    <row r="656">
      <c r="AL656" s="34"/>
      <c r="AM656" s="34"/>
      <c r="AN656" s="34"/>
      <c r="AO656" s="34"/>
      <c r="AP656" s="34"/>
      <c r="AQ656" s="34"/>
      <c r="AR656" s="34"/>
      <c r="AS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  <c r="CE656" s="34"/>
    </row>
    <row r="657"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  <c r="CE657" s="34"/>
    </row>
    <row r="658"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  <c r="CE658" s="34"/>
    </row>
    <row r="659"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  <c r="CE659" s="34"/>
    </row>
    <row r="660">
      <c r="AL660" s="34"/>
      <c r="AM660" s="34"/>
      <c r="AN660" s="34"/>
      <c r="AO660" s="34"/>
      <c r="AP660" s="34"/>
      <c r="AQ660" s="34"/>
      <c r="AR660" s="34"/>
      <c r="AS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  <c r="CE660" s="34"/>
    </row>
    <row r="661"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  <c r="CE661" s="34"/>
    </row>
    <row r="662"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  <c r="CE662" s="34"/>
    </row>
    <row r="663"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  <c r="CE663" s="34"/>
    </row>
    <row r="664"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  <c r="CE664" s="34"/>
    </row>
    <row r="665"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  <c r="CE665" s="34"/>
    </row>
    <row r="666"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  <c r="CE666" s="34"/>
    </row>
    <row r="667"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  <c r="CE667" s="34"/>
    </row>
    <row r="668"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  <c r="CE668" s="34"/>
    </row>
    <row r="669"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  <c r="CE669" s="34"/>
    </row>
    <row r="670"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  <c r="CE670" s="34"/>
    </row>
    <row r="671"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  <c r="CE671" s="34"/>
    </row>
    <row r="672"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  <c r="CE672" s="34"/>
    </row>
    <row r="673"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  <c r="CE673" s="34"/>
    </row>
    <row r="674"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  <c r="CE674" s="34"/>
    </row>
    <row r="675"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  <c r="CE675" s="34"/>
    </row>
    <row r="676"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  <c r="CE676" s="34"/>
    </row>
    <row r="677">
      <c r="AL677" s="34"/>
      <c r="AM677" s="34"/>
      <c r="AN677" s="34"/>
      <c r="AO677" s="34"/>
      <c r="AP677" s="34"/>
      <c r="AQ677" s="34"/>
      <c r="AR677" s="34"/>
      <c r="AS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  <c r="CE677" s="34"/>
    </row>
    <row r="678">
      <c r="AL678" s="34"/>
      <c r="AM678" s="34"/>
      <c r="AN678" s="34"/>
      <c r="AO678" s="34"/>
      <c r="AP678" s="34"/>
      <c r="AQ678" s="34"/>
      <c r="AR678" s="34"/>
      <c r="AS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  <c r="CE678" s="34"/>
    </row>
    <row r="679"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  <c r="CE679" s="34"/>
    </row>
    <row r="680">
      <c r="AL680" s="34"/>
      <c r="AM680" s="34"/>
      <c r="AN680" s="34"/>
      <c r="AO680" s="34"/>
      <c r="AP680" s="34"/>
      <c r="AQ680" s="34"/>
      <c r="AR680" s="34"/>
      <c r="AS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  <c r="CE680" s="34"/>
    </row>
    <row r="681"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  <c r="CE681" s="34"/>
    </row>
    <row r="682"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  <c r="CE682" s="34"/>
    </row>
    <row r="683">
      <c r="AL683" s="34"/>
      <c r="AM683" s="34"/>
      <c r="AN683" s="34"/>
      <c r="AO683" s="34"/>
      <c r="AP683" s="34"/>
      <c r="AQ683" s="34"/>
      <c r="AR683" s="34"/>
      <c r="AS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  <c r="CE683" s="34"/>
    </row>
    <row r="684"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  <c r="CE684" s="34"/>
    </row>
    <row r="685"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  <c r="CE685" s="34"/>
    </row>
    <row r="686">
      <c r="AL686" s="34"/>
      <c r="AM686" s="34"/>
      <c r="AN686" s="34"/>
      <c r="AO686" s="34"/>
      <c r="AP686" s="34"/>
      <c r="AQ686" s="34"/>
      <c r="AR686" s="34"/>
      <c r="AS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  <c r="CE686" s="34"/>
    </row>
    <row r="687">
      <c r="AL687" s="34"/>
      <c r="AM687" s="34"/>
      <c r="AN687" s="34"/>
      <c r="AO687" s="34"/>
      <c r="AP687" s="34"/>
      <c r="AQ687" s="34"/>
      <c r="AR687" s="34"/>
      <c r="AS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  <c r="CE687" s="34"/>
    </row>
    <row r="688"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  <c r="CE688" s="34"/>
    </row>
    <row r="689">
      <c r="AL689" s="34"/>
      <c r="AM689" s="34"/>
      <c r="AN689" s="34"/>
      <c r="AO689" s="34"/>
      <c r="AP689" s="34"/>
      <c r="AQ689" s="34"/>
      <c r="AR689" s="34"/>
      <c r="AS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  <c r="CE689" s="34"/>
    </row>
    <row r="690"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  <c r="CE690" s="34"/>
    </row>
    <row r="691"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  <c r="CE691" s="34"/>
    </row>
    <row r="692">
      <c r="AL692" s="34"/>
      <c r="AM692" s="34"/>
      <c r="AN692" s="34"/>
      <c r="AO692" s="34"/>
      <c r="AP692" s="34"/>
      <c r="AQ692" s="34"/>
      <c r="AR692" s="34"/>
      <c r="AS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  <c r="CE692" s="34"/>
    </row>
    <row r="693">
      <c r="AL693" s="34"/>
      <c r="AM693" s="34"/>
      <c r="AN693" s="34"/>
      <c r="AO693" s="34"/>
      <c r="AP693" s="34"/>
      <c r="AQ693" s="34"/>
      <c r="AR693" s="34"/>
      <c r="AS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  <c r="CE693" s="34"/>
    </row>
    <row r="694">
      <c r="AL694" s="34"/>
      <c r="AM694" s="34"/>
      <c r="AN694" s="34"/>
      <c r="AO694" s="34"/>
      <c r="AP694" s="34"/>
      <c r="AQ694" s="34"/>
      <c r="AR694" s="34"/>
      <c r="AS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  <c r="CE694" s="34"/>
    </row>
    <row r="695"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  <c r="CE695" s="34"/>
    </row>
    <row r="696"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  <c r="CE696" s="34"/>
    </row>
    <row r="697"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  <c r="CE697" s="34"/>
    </row>
    <row r="698"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  <c r="CE698" s="34"/>
    </row>
    <row r="699"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  <c r="CE699" s="34"/>
    </row>
    <row r="700">
      <c r="AL700" s="34"/>
      <c r="AM700" s="34"/>
      <c r="AN700" s="34"/>
      <c r="AO700" s="34"/>
      <c r="AP700" s="34"/>
      <c r="AQ700" s="34"/>
      <c r="AR700" s="34"/>
      <c r="AS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  <c r="CE700" s="34"/>
    </row>
    <row r="701"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  <c r="CE701" s="34"/>
    </row>
    <row r="702"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  <c r="CE702" s="34"/>
    </row>
    <row r="703"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  <c r="CE703" s="34"/>
    </row>
    <row r="704"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  <c r="CE704" s="34"/>
    </row>
    <row r="705"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  <c r="CE705" s="34"/>
    </row>
    <row r="706"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  <c r="CE706" s="34"/>
    </row>
    <row r="707"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  <c r="CE707" s="34"/>
    </row>
    <row r="708"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  <c r="CE708" s="34"/>
    </row>
    <row r="709"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  <c r="CE709" s="34"/>
    </row>
    <row r="710"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  <c r="CE710" s="34"/>
    </row>
    <row r="711"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  <c r="CE711" s="34"/>
    </row>
    <row r="712"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  <c r="CE712" s="34"/>
    </row>
    <row r="713"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  <c r="CE713" s="34"/>
    </row>
    <row r="714"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  <c r="CE714" s="34"/>
    </row>
    <row r="715"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  <c r="CE715" s="34"/>
    </row>
    <row r="716"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  <c r="CE716" s="34"/>
    </row>
    <row r="717"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  <c r="CE717" s="34"/>
    </row>
    <row r="718">
      <c r="AL718" s="34"/>
      <c r="AM718" s="34"/>
      <c r="AN718" s="34"/>
      <c r="AO718" s="34"/>
      <c r="AP718" s="34"/>
      <c r="AQ718" s="34"/>
      <c r="AR718" s="34"/>
      <c r="AS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  <c r="CE718" s="34"/>
    </row>
    <row r="719">
      <c r="AL719" s="34"/>
      <c r="AM719" s="34"/>
      <c r="AN719" s="34"/>
      <c r="AO719" s="34"/>
      <c r="AP719" s="34"/>
      <c r="AQ719" s="34"/>
      <c r="AR719" s="34"/>
      <c r="AS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  <c r="CE719" s="34"/>
    </row>
    <row r="720">
      <c r="AL720" s="34"/>
      <c r="AM720" s="34"/>
      <c r="AN720" s="34"/>
      <c r="AO720" s="34"/>
      <c r="AP720" s="34"/>
      <c r="AQ720" s="34"/>
      <c r="AR720" s="34"/>
      <c r="AS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  <c r="CE720" s="34"/>
    </row>
    <row r="721"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  <c r="CE721" s="34"/>
    </row>
    <row r="722"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  <c r="CE722" s="34"/>
    </row>
    <row r="723">
      <c r="AL723" s="34"/>
      <c r="AM723" s="34"/>
      <c r="AN723" s="34"/>
      <c r="AO723" s="34"/>
      <c r="AP723" s="34"/>
      <c r="AQ723" s="34"/>
      <c r="AR723" s="34"/>
      <c r="AS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  <c r="CE723" s="34"/>
    </row>
    <row r="724"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  <c r="CE724" s="34"/>
    </row>
    <row r="725"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  <c r="CE725" s="34"/>
    </row>
    <row r="726">
      <c r="AL726" s="34"/>
      <c r="AM726" s="34"/>
      <c r="AN726" s="34"/>
      <c r="AO726" s="34"/>
      <c r="AP726" s="34"/>
      <c r="AQ726" s="34"/>
      <c r="AR726" s="34"/>
      <c r="AS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  <c r="CE726" s="34"/>
    </row>
    <row r="727">
      <c r="AL727" s="34"/>
      <c r="AM727" s="34"/>
      <c r="AN727" s="34"/>
      <c r="AO727" s="34"/>
      <c r="AP727" s="34"/>
      <c r="AQ727" s="34"/>
      <c r="AR727" s="34"/>
      <c r="AS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  <c r="CE727" s="34"/>
    </row>
    <row r="728">
      <c r="AL728" s="34"/>
      <c r="AM728" s="34"/>
      <c r="AN728" s="34"/>
      <c r="AO728" s="34"/>
      <c r="AP728" s="34"/>
      <c r="AQ728" s="34"/>
      <c r="AR728" s="34"/>
      <c r="AS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  <c r="CE728" s="34"/>
    </row>
    <row r="729"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  <c r="CE729" s="34"/>
    </row>
    <row r="730"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  <c r="CE730" s="34"/>
    </row>
    <row r="731"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  <c r="CE731" s="34"/>
    </row>
    <row r="732"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  <c r="CE732" s="34"/>
    </row>
    <row r="733"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  <c r="CE733" s="34"/>
    </row>
    <row r="734">
      <c r="AL734" s="34"/>
      <c r="AM734" s="34"/>
      <c r="AN734" s="34"/>
      <c r="AO734" s="34"/>
      <c r="AP734" s="34"/>
      <c r="AQ734" s="34"/>
      <c r="AR734" s="34"/>
      <c r="AS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  <c r="CE734" s="34"/>
    </row>
    <row r="735"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  <c r="CE735" s="34"/>
    </row>
    <row r="736">
      <c r="AL736" s="34"/>
      <c r="AM736" s="34"/>
      <c r="AN736" s="34"/>
      <c r="AO736" s="34"/>
      <c r="AP736" s="34"/>
      <c r="AQ736" s="34"/>
      <c r="AR736" s="34"/>
      <c r="AS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  <c r="CE736" s="34"/>
    </row>
    <row r="737">
      <c r="AL737" s="34"/>
      <c r="AM737" s="34"/>
      <c r="AN737" s="34"/>
      <c r="AO737" s="34"/>
      <c r="AP737" s="34"/>
      <c r="AQ737" s="34"/>
      <c r="AR737" s="34"/>
      <c r="AS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  <c r="CE737" s="34"/>
    </row>
    <row r="738">
      <c r="AL738" s="34"/>
      <c r="AM738" s="34"/>
      <c r="AN738" s="34"/>
      <c r="AO738" s="34"/>
      <c r="AP738" s="34"/>
      <c r="AQ738" s="34"/>
      <c r="AR738" s="34"/>
      <c r="AS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  <c r="CE738" s="34"/>
    </row>
    <row r="739"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  <c r="CE739" s="34"/>
    </row>
    <row r="740"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  <c r="CE740" s="34"/>
    </row>
    <row r="741"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  <c r="CE741" s="34"/>
    </row>
    <row r="742">
      <c r="AL742" s="34"/>
      <c r="AM742" s="34"/>
      <c r="AN742" s="34"/>
      <c r="AO742" s="34"/>
      <c r="AP742" s="34"/>
      <c r="AQ742" s="34"/>
      <c r="AR742" s="34"/>
      <c r="AS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  <c r="CE742" s="34"/>
    </row>
    <row r="743">
      <c r="AL743" s="34"/>
      <c r="AM743" s="34"/>
      <c r="AN743" s="34"/>
      <c r="AO743" s="34"/>
      <c r="AP743" s="34"/>
      <c r="AQ743" s="34"/>
      <c r="AR743" s="34"/>
      <c r="AS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  <c r="CE743" s="34"/>
    </row>
    <row r="744"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  <c r="CE744" s="34"/>
    </row>
    <row r="745"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  <c r="CE745" s="34"/>
    </row>
    <row r="746"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  <c r="CE746" s="34"/>
    </row>
    <row r="747">
      <c r="AL747" s="34"/>
      <c r="AM747" s="34"/>
      <c r="AN747" s="34"/>
      <c r="AO747" s="34"/>
      <c r="AP747" s="34"/>
      <c r="AQ747" s="34"/>
      <c r="AR747" s="34"/>
      <c r="AS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  <c r="CE747" s="34"/>
    </row>
    <row r="748"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  <c r="CE748" s="34"/>
    </row>
    <row r="749"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  <c r="CE749" s="34"/>
    </row>
    <row r="750"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  <c r="CE750" s="34"/>
    </row>
    <row r="751"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  <c r="CE751" s="34"/>
    </row>
    <row r="752">
      <c r="AL752" s="34"/>
      <c r="AM752" s="34"/>
      <c r="AN752" s="34"/>
      <c r="AO752" s="34"/>
      <c r="AP752" s="34"/>
      <c r="AQ752" s="34"/>
      <c r="AR752" s="34"/>
      <c r="AS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  <c r="CE752" s="34"/>
    </row>
    <row r="753"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  <c r="CE753" s="34"/>
    </row>
    <row r="754"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  <c r="CE754" s="34"/>
    </row>
    <row r="755"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  <c r="CE755" s="34"/>
    </row>
    <row r="756"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  <c r="CE756" s="34"/>
    </row>
    <row r="757"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  <c r="CE757" s="34"/>
    </row>
    <row r="758"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  <c r="CE758" s="34"/>
    </row>
    <row r="759"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  <c r="CE759" s="34"/>
    </row>
    <row r="760"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  <c r="CE760" s="34"/>
    </row>
    <row r="761"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  <c r="CE761" s="34"/>
    </row>
    <row r="762"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  <c r="CE762" s="34"/>
    </row>
    <row r="763"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  <c r="CE763" s="34"/>
    </row>
    <row r="764"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  <c r="CE764" s="34"/>
    </row>
    <row r="765"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  <c r="CE765" s="34"/>
    </row>
    <row r="766"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  <c r="CE766" s="34"/>
    </row>
    <row r="767"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  <c r="CE767" s="34"/>
    </row>
    <row r="768"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  <c r="CE768" s="34"/>
    </row>
    <row r="769"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  <c r="CE769" s="34"/>
    </row>
    <row r="770"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  <c r="CE770" s="34"/>
    </row>
    <row r="771">
      <c r="AL771" s="34"/>
      <c r="AM771" s="34"/>
      <c r="AN771" s="34"/>
      <c r="AO771" s="34"/>
      <c r="AP771" s="34"/>
      <c r="AQ771" s="34"/>
      <c r="AR771" s="34"/>
      <c r="AS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  <c r="CE771" s="34"/>
    </row>
    <row r="772">
      <c r="AL772" s="34"/>
      <c r="AM772" s="34"/>
      <c r="AN772" s="34"/>
      <c r="AO772" s="34"/>
      <c r="AP772" s="34"/>
      <c r="AQ772" s="34"/>
      <c r="AR772" s="34"/>
      <c r="AS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  <c r="CE772" s="34"/>
    </row>
    <row r="773"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  <c r="CE773" s="34"/>
    </row>
    <row r="774"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  <c r="CE774" s="34"/>
    </row>
    <row r="775">
      <c r="AL775" s="34"/>
      <c r="AM775" s="34"/>
      <c r="AN775" s="34"/>
      <c r="AO775" s="34"/>
      <c r="AP775" s="34"/>
      <c r="AQ775" s="34"/>
      <c r="AR775" s="34"/>
      <c r="AS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  <c r="CE775" s="34"/>
    </row>
    <row r="776">
      <c r="AL776" s="34"/>
      <c r="AM776" s="34"/>
      <c r="AN776" s="34"/>
      <c r="AO776" s="34"/>
      <c r="AP776" s="34"/>
      <c r="AQ776" s="34"/>
      <c r="AR776" s="34"/>
      <c r="AS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  <c r="CE776" s="34"/>
    </row>
    <row r="777">
      <c r="AL777" s="34"/>
      <c r="AM777" s="34"/>
      <c r="AN777" s="34"/>
      <c r="AO777" s="34"/>
      <c r="AP777" s="34"/>
      <c r="AQ777" s="34"/>
      <c r="AR777" s="34"/>
      <c r="AS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  <c r="CE777" s="34"/>
    </row>
    <row r="778">
      <c r="AL778" s="34"/>
      <c r="AM778" s="34"/>
      <c r="AN778" s="34"/>
      <c r="AO778" s="34"/>
      <c r="AP778" s="34"/>
      <c r="AQ778" s="34"/>
      <c r="AR778" s="34"/>
      <c r="AS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  <c r="CE778" s="34"/>
    </row>
    <row r="779"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  <c r="CE779" s="34"/>
    </row>
    <row r="780"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  <c r="CE780" s="34"/>
    </row>
    <row r="781"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  <c r="CE781" s="34"/>
    </row>
    <row r="782">
      <c r="AL782" s="34"/>
      <c r="AM782" s="34"/>
      <c r="AN782" s="34"/>
      <c r="AO782" s="34"/>
      <c r="AP782" s="34"/>
      <c r="AQ782" s="34"/>
      <c r="AR782" s="34"/>
      <c r="AS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  <c r="CE782" s="34"/>
    </row>
    <row r="783">
      <c r="AL783" s="34"/>
      <c r="AM783" s="34"/>
      <c r="AN783" s="34"/>
      <c r="AO783" s="34"/>
      <c r="AP783" s="34"/>
      <c r="AQ783" s="34"/>
      <c r="AR783" s="34"/>
      <c r="AS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  <c r="CE783" s="34"/>
    </row>
    <row r="784"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  <c r="CE784" s="34"/>
    </row>
    <row r="785"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  <c r="CE785" s="34"/>
    </row>
    <row r="786"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  <c r="CE786" s="34"/>
    </row>
    <row r="787"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  <c r="CE787" s="34"/>
    </row>
    <row r="788"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  <c r="CE788" s="34"/>
    </row>
    <row r="789"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  <c r="CE789" s="34"/>
    </row>
    <row r="790">
      <c r="AL790" s="34"/>
      <c r="AM790" s="34"/>
      <c r="AN790" s="34"/>
      <c r="AO790" s="34"/>
      <c r="AP790" s="34"/>
      <c r="AQ790" s="34"/>
      <c r="AR790" s="34"/>
      <c r="AS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  <c r="CE790" s="34"/>
    </row>
    <row r="791">
      <c r="AL791" s="34"/>
      <c r="AM791" s="34"/>
      <c r="AN791" s="34"/>
      <c r="AO791" s="34"/>
      <c r="AP791" s="34"/>
      <c r="AQ791" s="34"/>
      <c r="AR791" s="34"/>
      <c r="AS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  <c r="CE791" s="34"/>
    </row>
    <row r="792">
      <c r="AL792" s="34"/>
      <c r="AM792" s="34"/>
      <c r="AN792" s="34"/>
      <c r="AO792" s="34"/>
      <c r="AP792" s="34"/>
      <c r="AQ792" s="34"/>
      <c r="AR792" s="34"/>
      <c r="AS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  <c r="CE792" s="34"/>
    </row>
    <row r="793">
      <c r="AL793" s="34"/>
      <c r="AM793" s="34"/>
      <c r="AN793" s="34"/>
      <c r="AO793" s="34"/>
      <c r="AP793" s="34"/>
      <c r="AQ793" s="34"/>
      <c r="AR793" s="34"/>
      <c r="AS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  <c r="CE793" s="34"/>
    </row>
    <row r="794">
      <c r="AL794" s="34"/>
      <c r="AM794" s="34"/>
      <c r="AN794" s="34"/>
      <c r="AO794" s="34"/>
      <c r="AP794" s="34"/>
      <c r="AQ794" s="34"/>
      <c r="AR794" s="34"/>
      <c r="AS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  <c r="CE794" s="34"/>
    </row>
    <row r="795"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  <c r="CE795" s="34"/>
    </row>
    <row r="796"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  <c r="CE796" s="34"/>
    </row>
    <row r="797">
      <c r="AL797" s="34"/>
      <c r="AM797" s="34"/>
      <c r="AN797" s="34"/>
      <c r="AO797" s="34"/>
      <c r="AP797" s="34"/>
      <c r="AQ797" s="34"/>
      <c r="AR797" s="34"/>
      <c r="AS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  <c r="CE797" s="34"/>
    </row>
    <row r="798">
      <c r="AL798" s="34"/>
      <c r="AM798" s="34"/>
      <c r="AN798" s="34"/>
      <c r="AO798" s="34"/>
      <c r="AP798" s="34"/>
      <c r="AQ798" s="34"/>
      <c r="AR798" s="34"/>
      <c r="AS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  <c r="CE798" s="34"/>
    </row>
    <row r="799"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  <c r="CE799" s="34"/>
    </row>
    <row r="800"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  <c r="CE800" s="34"/>
    </row>
    <row r="801"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  <c r="CE801" s="34"/>
    </row>
    <row r="802"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  <c r="CE802" s="34"/>
    </row>
    <row r="803"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  <c r="CE803" s="34"/>
    </row>
    <row r="804"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  <c r="CE804" s="34"/>
    </row>
    <row r="805"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  <c r="CE805" s="34"/>
    </row>
    <row r="806"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  <c r="CE806" s="34"/>
    </row>
    <row r="807"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  <c r="CE807" s="34"/>
    </row>
    <row r="808"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  <c r="CE808" s="34"/>
    </row>
    <row r="809">
      <c r="AL809" s="34"/>
      <c r="AM809" s="34"/>
      <c r="AN809" s="34"/>
      <c r="AO809" s="34"/>
      <c r="AP809" s="34"/>
      <c r="AQ809" s="34"/>
      <c r="AR809" s="34"/>
      <c r="AS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  <c r="CE809" s="34"/>
    </row>
    <row r="810">
      <c r="AL810" s="34"/>
      <c r="AM810" s="34"/>
      <c r="AN810" s="34"/>
      <c r="AO810" s="34"/>
      <c r="AP810" s="34"/>
      <c r="AQ810" s="34"/>
      <c r="AR810" s="34"/>
      <c r="AS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  <c r="CE810" s="34"/>
    </row>
    <row r="811">
      <c r="AL811" s="34"/>
      <c r="AM811" s="34"/>
      <c r="AN811" s="34"/>
      <c r="AO811" s="34"/>
      <c r="AP811" s="34"/>
      <c r="AQ811" s="34"/>
      <c r="AR811" s="34"/>
      <c r="AS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  <c r="CE811" s="34"/>
    </row>
    <row r="812"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  <c r="CE812" s="34"/>
    </row>
    <row r="813">
      <c r="AL813" s="34"/>
      <c r="AM813" s="34"/>
      <c r="AN813" s="34"/>
      <c r="AO813" s="34"/>
      <c r="AP813" s="34"/>
      <c r="AQ813" s="34"/>
      <c r="AR813" s="34"/>
      <c r="AS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  <c r="CE813" s="34"/>
    </row>
    <row r="814">
      <c r="AL814" s="34"/>
      <c r="AM814" s="34"/>
      <c r="AN814" s="34"/>
      <c r="AO814" s="34"/>
      <c r="AP814" s="34"/>
      <c r="AQ814" s="34"/>
      <c r="AR814" s="34"/>
      <c r="AS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  <c r="CE814" s="34"/>
    </row>
    <row r="815"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  <c r="CE815" s="34"/>
    </row>
    <row r="816">
      <c r="AL816" s="34"/>
      <c r="AM816" s="34"/>
      <c r="AN816" s="34"/>
      <c r="AO816" s="34"/>
      <c r="AP816" s="34"/>
      <c r="AQ816" s="34"/>
      <c r="AR816" s="34"/>
      <c r="AS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  <c r="CE816" s="34"/>
    </row>
    <row r="817">
      <c r="AL817" s="34"/>
      <c r="AM817" s="34"/>
      <c r="AN817" s="34"/>
      <c r="AO817" s="34"/>
      <c r="AP817" s="34"/>
      <c r="AQ817" s="34"/>
      <c r="AR817" s="34"/>
      <c r="AS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  <c r="CE817" s="34"/>
    </row>
    <row r="818">
      <c r="AL818" s="34"/>
      <c r="AM818" s="34"/>
      <c r="AN818" s="34"/>
      <c r="AO818" s="34"/>
      <c r="AP818" s="34"/>
      <c r="AQ818" s="34"/>
      <c r="AR818" s="34"/>
      <c r="AS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  <c r="CE818" s="34"/>
    </row>
    <row r="819"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  <c r="CE819" s="34"/>
    </row>
    <row r="820">
      <c r="AL820" s="34"/>
      <c r="AM820" s="34"/>
      <c r="AN820" s="34"/>
      <c r="AO820" s="34"/>
      <c r="AP820" s="34"/>
      <c r="AQ820" s="34"/>
      <c r="AR820" s="34"/>
      <c r="AS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  <c r="CE820" s="34"/>
    </row>
    <row r="821">
      <c r="AL821" s="34"/>
      <c r="AM821" s="34"/>
      <c r="AN821" s="34"/>
      <c r="AO821" s="34"/>
      <c r="AP821" s="34"/>
      <c r="AQ821" s="34"/>
      <c r="AR821" s="34"/>
      <c r="AS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  <c r="CE821" s="34"/>
    </row>
    <row r="822">
      <c r="AL822" s="34"/>
      <c r="AM822" s="34"/>
      <c r="AN822" s="34"/>
      <c r="AO822" s="34"/>
      <c r="AP822" s="34"/>
      <c r="AQ822" s="34"/>
      <c r="AR822" s="34"/>
      <c r="AS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  <c r="CE822" s="34"/>
    </row>
    <row r="823">
      <c r="AL823" s="34"/>
      <c r="AM823" s="34"/>
      <c r="AN823" s="34"/>
      <c r="AO823" s="34"/>
      <c r="AP823" s="34"/>
      <c r="AQ823" s="34"/>
      <c r="AR823" s="34"/>
      <c r="AS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  <c r="CE823" s="34"/>
    </row>
    <row r="824">
      <c r="AL824" s="34"/>
      <c r="AM824" s="34"/>
      <c r="AN824" s="34"/>
      <c r="AO824" s="34"/>
      <c r="AP824" s="34"/>
      <c r="AQ824" s="34"/>
      <c r="AR824" s="34"/>
      <c r="AS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  <c r="CE824" s="34"/>
    </row>
    <row r="825">
      <c r="AL825" s="34"/>
      <c r="AM825" s="34"/>
      <c r="AN825" s="34"/>
      <c r="AO825" s="34"/>
      <c r="AP825" s="34"/>
      <c r="AQ825" s="34"/>
      <c r="AR825" s="34"/>
      <c r="AS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  <c r="CE825" s="34"/>
    </row>
    <row r="826"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  <c r="CE826" s="34"/>
    </row>
    <row r="827">
      <c r="AL827" s="34"/>
      <c r="AM827" s="34"/>
      <c r="AN827" s="34"/>
      <c r="AO827" s="34"/>
      <c r="AP827" s="34"/>
      <c r="AQ827" s="34"/>
      <c r="AR827" s="34"/>
      <c r="AS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  <c r="CE827" s="34"/>
    </row>
    <row r="828"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  <c r="CE828" s="34"/>
    </row>
    <row r="829">
      <c r="AL829" s="34"/>
      <c r="AM829" s="34"/>
      <c r="AN829" s="34"/>
      <c r="AO829" s="34"/>
      <c r="AP829" s="34"/>
      <c r="AQ829" s="34"/>
      <c r="AR829" s="34"/>
      <c r="AS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  <c r="CE829" s="34"/>
    </row>
    <row r="830">
      <c r="AL830" s="34"/>
      <c r="AM830" s="34"/>
      <c r="AN830" s="34"/>
      <c r="AO830" s="34"/>
      <c r="AP830" s="34"/>
      <c r="AQ830" s="34"/>
      <c r="AR830" s="34"/>
      <c r="AS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  <c r="CE830" s="34"/>
    </row>
    <row r="831"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  <c r="CE831" s="34"/>
    </row>
    <row r="832">
      <c r="AL832" s="34"/>
      <c r="AM832" s="34"/>
      <c r="AN832" s="34"/>
      <c r="AO832" s="34"/>
      <c r="AP832" s="34"/>
      <c r="AQ832" s="34"/>
      <c r="AR832" s="34"/>
      <c r="AS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  <c r="CE832" s="34"/>
    </row>
    <row r="833"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  <c r="CE833" s="34"/>
    </row>
    <row r="834">
      <c r="AL834" s="34"/>
      <c r="AM834" s="34"/>
      <c r="AN834" s="34"/>
      <c r="AO834" s="34"/>
      <c r="AP834" s="34"/>
      <c r="AQ834" s="34"/>
      <c r="AR834" s="34"/>
      <c r="AS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  <c r="CE834" s="34"/>
    </row>
    <row r="835"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  <c r="CE835" s="34"/>
    </row>
    <row r="836">
      <c r="AL836" s="34"/>
      <c r="AM836" s="34"/>
      <c r="AN836" s="34"/>
      <c r="AO836" s="34"/>
      <c r="AP836" s="34"/>
      <c r="AQ836" s="34"/>
      <c r="AR836" s="34"/>
      <c r="AS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  <c r="CE836" s="34"/>
    </row>
    <row r="837"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  <c r="CE837" s="34"/>
    </row>
    <row r="838"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  <c r="CE838" s="34"/>
    </row>
    <row r="839"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  <c r="CE839" s="34"/>
    </row>
    <row r="840"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  <c r="CE840" s="34"/>
    </row>
    <row r="841"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  <c r="CE841" s="34"/>
    </row>
    <row r="842"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  <c r="CE842" s="34"/>
    </row>
    <row r="843"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  <c r="CE843" s="34"/>
    </row>
    <row r="844"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  <c r="CE844" s="34"/>
    </row>
    <row r="845"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  <c r="CE845" s="34"/>
    </row>
    <row r="846"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  <c r="CE846" s="34"/>
    </row>
    <row r="847"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  <c r="CE847" s="34"/>
    </row>
    <row r="848"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  <c r="CE848" s="34"/>
    </row>
    <row r="849">
      <c r="AL849" s="34"/>
      <c r="AM849" s="34"/>
      <c r="AN849" s="34"/>
      <c r="AO849" s="34"/>
      <c r="AP849" s="34"/>
      <c r="AQ849" s="34"/>
      <c r="AR849" s="34"/>
      <c r="AS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  <c r="CE849" s="34"/>
    </row>
    <row r="850">
      <c r="AL850" s="34"/>
      <c r="AM850" s="34"/>
      <c r="AN850" s="34"/>
      <c r="AO850" s="34"/>
      <c r="AP850" s="34"/>
      <c r="AQ850" s="34"/>
      <c r="AR850" s="34"/>
      <c r="AS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  <c r="CE850" s="34"/>
    </row>
    <row r="851"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  <c r="CE851" s="34"/>
    </row>
    <row r="852">
      <c r="AL852" s="34"/>
      <c r="AM852" s="34"/>
      <c r="AN852" s="34"/>
      <c r="AO852" s="34"/>
      <c r="AP852" s="34"/>
      <c r="AQ852" s="34"/>
      <c r="AR852" s="34"/>
      <c r="AS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  <c r="CE852" s="34"/>
    </row>
    <row r="853">
      <c r="AL853" s="34"/>
      <c r="AM853" s="34"/>
      <c r="AN853" s="34"/>
      <c r="AO853" s="34"/>
      <c r="AP853" s="34"/>
      <c r="AQ853" s="34"/>
      <c r="AR853" s="34"/>
      <c r="AS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  <c r="CE853" s="34"/>
    </row>
    <row r="854">
      <c r="AL854" s="34"/>
      <c r="AM854" s="34"/>
      <c r="AN854" s="34"/>
      <c r="AO854" s="34"/>
      <c r="AP854" s="34"/>
      <c r="AQ854" s="34"/>
      <c r="AR854" s="34"/>
      <c r="AS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  <c r="CE854" s="34"/>
    </row>
    <row r="855">
      <c r="AL855" s="34"/>
      <c r="AM855" s="34"/>
      <c r="AN855" s="34"/>
      <c r="AO855" s="34"/>
      <c r="AP855" s="34"/>
      <c r="AQ855" s="34"/>
      <c r="AR855" s="34"/>
      <c r="AS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  <c r="CE855" s="34"/>
    </row>
    <row r="856"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  <c r="CE856" s="34"/>
    </row>
    <row r="857">
      <c r="AL857" s="34"/>
      <c r="AM857" s="34"/>
      <c r="AN857" s="34"/>
      <c r="AO857" s="34"/>
      <c r="AP857" s="34"/>
      <c r="AQ857" s="34"/>
      <c r="AR857" s="34"/>
      <c r="AS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  <c r="CE857" s="34"/>
    </row>
    <row r="858">
      <c r="AL858" s="34"/>
      <c r="AM858" s="34"/>
      <c r="AN858" s="34"/>
      <c r="AO858" s="34"/>
      <c r="AP858" s="34"/>
      <c r="AQ858" s="34"/>
      <c r="AR858" s="34"/>
      <c r="AS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  <c r="CE858" s="34"/>
    </row>
    <row r="859"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  <c r="CE859" s="34"/>
    </row>
    <row r="860"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  <c r="CE860" s="34"/>
    </row>
    <row r="861">
      <c r="AL861" s="34"/>
      <c r="AM861" s="34"/>
      <c r="AN861" s="34"/>
      <c r="AO861" s="34"/>
      <c r="AP861" s="34"/>
      <c r="AQ861" s="34"/>
      <c r="AR861" s="34"/>
      <c r="AS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  <c r="CE861" s="34"/>
    </row>
    <row r="862"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  <c r="CE862" s="34"/>
    </row>
    <row r="863">
      <c r="AL863" s="34"/>
      <c r="AM863" s="34"/>
      <c r="AN863" s="34"/>
      <c r="AO863" s="34"/>
      <c r="AP863" s="34"/>
      <c r="AQ863" s="34"/>
      <c r="AR863" s="34"/>
      <c r="AS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  <c r="CE863" s="34"/>
    </row>
    <row r="864">
      <c r="AL864" s="34"/>
      <c r="AM864" s="34"/>
      <c r="AN864" s="34"/>
      <c r="AO864" s="34"/>
      <c r="AP864" s="34"/>
      <c r="AQ864" s="34"/>
      <c r="AR864" s="34"/>
      <c r="AS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  <c r="CE864" s="34"/>
    </row>
    <row r="865"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  <c r="CE865" s="34"/>
    </row>
    <row r="866">
      <c r="AL866" s="34"/>
      <c r="AM866" s="34"/>
      <c r="AN866" s="34"/>
      <c r="AO866" s="34"/>
      <c r="AP866" s="34"/>
      <c r="AQ866" s="34"/>
      <c r="AR866" s="34"/>
      <c r="AS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  <c r="CE866" s="34"/>
    </row>
    <row r="867"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  <c r="CE867" s="34"/>
    </row>
    <row r="868"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  <c r="CE868" s="34"/>
    </row>
    <row r="869">
      <c r="AL869" s="34"/>
      <c r="AM869" s="34"/>
      <c r="AN869" s="34"/>
      <c r="AO869" s="34"/>
      <c r="AP869" s="34"/>
      <c r="AQ869" s="34"/>
      <c r="AR869" s="34"/>
      <c r="AS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  <c r="CE869" s="34"/>
    </row>
    <row r="870">
      <c r="AL870" s="34"/>
      <c r="AM870" s="34"/>
      <c r="AN870" s="34"/>
      <c r="AO870" s="34"/>
      <c r="AP870" s="34"/>
      <c r="AQ870" s="34"/>
      <c r="AR870" s="34"/>
      <c r="AS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  <c r="CE870" s="34"/>
    </row>
    <row r="871">
      <c r="AL871" s="34"/>
      <c r="AM871" s="34"/>
      <c r="AN871" s="34"/>
      <c r="AO871" s="34"/>
      <c r="AP871" s="34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  <c r="CE871" s="34"/>
    </row>
    <row r="872">
      <c r="AL872" s="34"/>
      <c r="AM872" s="34"/>
      <c r="AN872" s="34"/>
      <c r="AO872" s="34"/>
      <c r="AP872" s="34"/>
      <c r="AQ872" s="34"/>
      <c r="AR872" s="34"/>
      <c r="AS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  <c r="CE872" s="34"/>
    </row>
    <row r="873">
      <c r="AL873" s="34"/>
      <c r="AM873" s="34"/>
      <c r="AN873" s="34"/>
      <c r="AO873" s="34"/>
      <c r="AP873" s="34"/>
      <c r="AQ873" s="34"/>
      <c r="AR873" s="34"/>
      <c r="AS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  <c r="CE873" s="34"/>
    </row>
    <row r="874">
      <c r="AL874" s="34"/>
      <c r="AM874" s="34"/>
      <c r="AN874" s="34"/>
      <c r="AO874" s="34"/>
      <c r="AP874" s="34"/>
      <c r="AQ874" s="34"/>
      <c r="AR874" s="34"/>
      <c r="AS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  <c r="CE874" s="34"/>
    </row>
    <row r="875"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  <c r="CE875" s="34"/>
    </row>
    <row r="876">
      <c r="AL876" s="34"/>
      <c r="AM876" s="34"/>
      <c r="AN876" s="34"/>
      <c r="AO876" s="34"/>
      <c r="AP876" s="34"/>
      <c r="AQ876" s="34"/>
      <c r="AR876" s="34"/>
      <c r="AS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  <c r="CE876" s="34"/>
    </row>
    <row r="877">
      <c r="AL877" s="34"/>
      <c r="AM877" s="34"/>
      <c r="AN877" s="34"/>
      <c r="AO877" s="34"/>
      <c r="AP877" s="34"/>
      <c r="AQ877" s="34"/>
      <c r="AR877" s="34"/>
      <c r="AS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  <c r="CE877" s="34"/>
    </row>
    <row r="878">
      <c r="AL878" s="34"/>
      <c r="AM878" s="34"/>
      <c r="AN878" s="34"/>
      <c r="AO878" s="34"/>
      <c r="AP878" s="34"/>
      <c r="AQ878" s="34"/>
      <c r="AR878" s="34"/>
      <c r="AS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  <c r="CE878" s="34"/>
    </row>
    <row r="879"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  <c r="CE879" s="34"/>
    </row>
    <row r="880">
      <c r="AL880" s="34"/>
      <c r="AM880" s="34"/>
      <c r="AN880" s="34"/>
      <c r="AO880" s="34"/>
      <c r="AP880" s="34"/>
      <c r="AQ880" s="34"/>
      <c r="AR880" s="34"/>
      <c r="AS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  <c r="CE880" s="34"/>
    </row>
    <row r="881">
      <c r="AL881" s="34"/>
      <c r="AM881" s="34"/>
      <c r="AN881" s="34"/>
      <c r="AO881" s="34"/>
      <c r="AP881" s="34"/>
      <c r="AQ881" s="34"/>
      <c r="AR881" s="34"/>
      <c r="AS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  <c r="CE881" s="34"/>
    </row>
    <row r="882">
      <c r="AL882" s="34"/>
      <c r="AM882" s="34"/>
      <c r="AN882" s="34"/>
      <c r="AO882" s="34"/>
      <c r="AP882" s="34"/>
      <c r="AQ882" s="34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  <c r="CE882" s="34"/>
    </row>
    <row r="883"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  <c r="CE883" s="34"/>
    </row>
    <row r="884">
      <c r="AL884" s="34"/>
      <c r="AM884" s="34"/>
      <c r="AN884" s="34"/>
      <c r="AO884" s="34"/>
      <c r="AP884" s="34"/>
      <c r="AQ884" s="34"/>
      <c r="AR884" s="34"/>
      <c r="AS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  <c r="CE884" s="34"/>
    </row>
    <row r="885"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  <c r="CE885" s="34"/>
    </row>
    <row r="886">
      <c r="AL886" s="34"/>
      <c r="AM886" s="34"/>
      <c r="AN886" s="34"/>
      <c r="AO886" s="34"/>
      <c r="AP886" s="34"/>
      <c r="AQ886" s="34"/>
      <c r="AR886" s="34"/>
      <c r="AS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  <c r="CE886" s="34"/>
    </row>
    <row r="887"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  <c r="CE887" s="34"/>
    </row>
    <row r="888">
      <c r="AL888" s="34"/>
      <c r="AM888" s="34"/>
      <c r="AN888" s="34"/>
      <c r="AO888" s="34"/>
      <c r="AP888" s="34"/>
      <c r="AQ888" s="34"/>
      <c r="AR888" s="34"/>
      <c r="AS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  <c r="CE888" s="34"/>
    </row>
    <row r="889">
      <c r="AL889" s="34"/>
      <c r="AM889" s="34"/>
      <c r="AN889" s="34"/>
      <c r="AO889" s="34"/>
      <c r="AP889" s="34"/>
      <c r="AQ889" s="34"/>
      <c r="AR889" s="34"/>
      <c r="AS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  <c r="CE889" s="34"/>
    </row>
    <row r="890">
      <c r="AL890" s="34"/>
      <c r="AM890" s="34"/>
      <c r="AN890" s="34"/>
      <c r="AO890" s="34"/>
      <c r="AP890" s="34"/>
      <c r="AQ890" s="34"/>
      <c r="AR890" s="34"/>
      <c r="AS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  <c r="CE890" s="34"/>
    </row>
    <row r="891">
      <c r="AL891" s="34"/>
      <c r="AM891" s="34"/>
      <c r="AN891" s="34"/>
      <c r="AO891" s="34"/>
      <c r="AP891" s="34"/>
      <c r="AQ891" s="34"/>
      <c r="AR891" s="34"/>
      <c r="AS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  <c r="CE891" s="34"/>
    </row>
    <row r="892">
      <c r="AL892" s="34"/>
      <c r="AM892" s="34"/>
      <c r="AN892" s="34"/>
      <c r="AO892" s="34"/>
      <c r="AP892" s="34"/>
      <c r="AQ892" s="34"/>
      <c r="AR892" s="34"/>
      <c r="AS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  <c r="CE892" s="34"/>
    </row>
    <row r="893">
      <c r="AL893" s="34"/>
      <c r="AM893" s="34"/>
      <c r="AN893" s="34"/>
      <c r="AO893" s="34"/>
      <c r="AP893" s="34"/>
      <c r="AQ893" s="34"/>
      <c r="AR893" s="34"/>
      <c r="AS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  <c r="CE893" s="34"/>
    </row>
    <row r="894"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  <c r="CE894" s="34"/>
    </row>
    <row r="895">
      <c r="AL895" s="34"/>
      <c r="AM895" s="34"/>
      <c r="AN895" s="34"/>
      <c r="AO895" s="34"/>
      <c r="AP895" s="34"/>
      <c r="AQ895" s="34"/>
      <c r="AR895" s="34"/>
      <c r="AS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  <c r="CE895" s="34"/>
    </row>
    <row r="896"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  <c r="CE896" s="34"/>
    </row>
    <row r="897"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  <c r="CE897" s="34"/>
    </row>
    <row r="898">
      <c r="AL898" s="34"/>
      <c r="AM898" s="34"/>
      <c r="AN898" s="34"/>
      <c r="AO898" s="34"/>
      <c r="AP898" s="34"/>
      <c r="AQ898" s="34"/>
      <c r="AR898" s="34"/>
      <c r="AS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  <c r="CE898" s="34"/>
    </row>
    <row r="899"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  <c r="CE899" s="34"/>
    </row>
    <row r="900"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  <c r="CE900" s="34"/>
    </row>
    <row r="901">
      <c r="AL901" s="34"/>
      <c r="AM901" s="34"/>
      <c r="AN901" s="34"/>
      <c r="AO901" s="34"/>
      <c r="AP901" s="34"/>
      <c r="AQ901" s="34"/>
      <c r="AR901" s="34"/>
      <c r="AS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  <c r="CE901" s="34"/>
    </row>
    <row r="902">
      <c r="AL902" s="34"/>
      <c r="AM902" s="34"/>
      <c r="AN902" s="34"/>
      <c r="AO902" s="34"/>
      <c r="AP902" s="34"/>
      <c r="AQ902" s="34"/>
      <c r="AR902" s="34"/>
      <c r="AS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  <c r="CE902" s="34"/>
    </row>
    <row r="903"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  <c r="CE903" s="34"/>
    </row>
    <row r="904">
      <c r="AL904" s="34"/>
      <c r="AM904" s="34"/>
      <c r="AN904" s="34"/>
      <c r="AO904" s="34"/>
      <c r="AP904" s="34"/>
      <c r="AQ904" s="34"/>
      <c r="AR904" s="34"/>
      <c r="AS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  <c r="CE904" s="34"/>
    </row>
    <row r="905">
      <c r="AL905" s="34"/>
      <c r="AM905" s="34"/>
      <c r="AN905" s="34"/>
      <c r="AO905" s="34"/>
      <c r="AP905" s="34"/>
      <c r="AQ905" s="34"/>
      <c r="AR905" s="34"/>
      <c r="AS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  <c r="CE905" s="34"/>
    </row>
    <row r="906">
      <c r="AL906" s="34"/>
      <c r="AM906" s="34"/>
      <c r="AN906" s="34"/>
      <c r="AO906" s="34"/>
      <c r="AP906" s="34"/>
      <c r="AQ906" s="34"/>
      <c r="AR906" s="34"/>
      <c r="AS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  <c r="CE906" s="34"/>
    </row>
    <row r="907"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  <c r="CE907" s="34"/>
    </row>
    <row r="908"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  <c r="CE908" s="34"/>
    </row>
    <row r="909"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  <c r="CE909" s="34"/>
    </row>
    <row r="910"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  <c r="CE910" s="34"/>
    </row>
    <row r="911">
      <c r="AL911" s="34"/>
      <c r="AM911" s="34"/>
      <c r="AN911" s="34"/>
      <c r="AO911" s="34"/>
      <c r="AP911" s="34"/>
      <c r="AQ911" s="34"/>
      <c r="AR911" s="34"/>
      <c r="AS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  <c r="CE911" s="34"/>
    </row>
    <row r="912"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  <c r="CE912" s="34"/>
    </row>
    <row r="913"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  <c r="CE913" s="34"/>
    </row>
    <row r="914"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  <c r="CE914" s="34"/>
    </row>
    <row r="915"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  <c r="CE915" s="34"/>
    </row>
    <row r="916">
      <c r="AL916" s="34"/>
      <c r="AM916" s="34"/>
      <c r="AN916" s="34"/>
      <c r="AO916" s="34"/>
      <c r="AP916" s="34"/>
      <c r="AQ916" s="34"/>
      <c r="AR916" s="34"/>
      <c r="AS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  <c r="CE916" s="34"/>
    </row>
    <row r="917"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  <c r="CE917" s="34"/>
    </row>
    <row r="918">
      <c r="AL918" s="34"/>
      <c r="AM918" s="34"/>
      <c r="AN918" s="34"/>
      <c r="AO918" s="34"/>
      <c r="AP918" s="34"/>
      <c r="AQ918" s="34"/>
      <c r="AR918" s="34"/>
      <c r="AS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  <c r="CE918" s="34"/>
    </row>
    <row r="919">
      <c r="AL919" s="34"/>
      <c r="AM919" s="34"/>
      <c r="AN919" s="34"/>
      <c r="AO919" s="34"/>
      <c r="AP919" s="34"/>
      <c r="AQ919" s="34"/>
      <c r="AR919" s="34"/>
      <c r="AS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  <c r="CE919" s="34"/>
    </row>
    <row r="920"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  <c r="CE920" s="34"/>
    </row>
    <row r="921">
      <c r="AL921" s="34"/>
      <c r="AM921" s="34"/>
      <c r="AN921" s="34"/>
      <c r="AO921" s="34"/>
      <c r="AP921" s="34"/>
      <c r="AQ921" s="34"/>
      <c r="AR921" s="34"/>
      <c r="AS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  <c r="CE921" s="34"/>
    </row>
    <row r="922">
      <c r="AL922" s="34"/>
      <c r="AM922" s="34"/>
      <c r="AN922" s="34"/>
      <c r="AO922" s="34"/>
      <c r="AP922" s="34"/>
      <c r="AQ922" s="34"/>
      <c r="AR922" s="34"/>
      <c r="AS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  <c r="CE922" s="34"/>
    </row>
    <row r="923">
      <c r="AL923" s="34"/>
      <c r="AM923" s="34"/>
      <c r="AN923" s="34"/>
      <c r="AO923" s="34"/>
      <c r="AP923" s="34"/>
      <c r="AQ923" s="34"/>
      <c r="AR923" s="34"/>
      <c r="AS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  <c r="CE923" s="34"/>
    </row>
    <row r="924">
      <c r="AL924" s="34"/>
      <c r="AM924" s="34"/>
      <c r="AN924" s="34"/>
      <c r="AO924" s="34"/>
      <c r="AP924" s="34"/>
      <c r="AQ924" s="34"/>
      <c r="AR924" s="34"/>
      <c r="AS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  <c r="CE924" s="34"/>
    </row>
    <row r="925">
      <c r="AL925" s="34"/>
      <c r="AM925" s="34"/>
      <c r="AN925" s="34"/>
      <c r="AO925" s="34"/>
      <c r="AP925" s="34"/>
      <c r="AQ925" s="34"/>
      <c r="AR925" s="34"/>
      <c r="AS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  <c r="CE925" s="34"/>
    </row>
    <row r="926">
      <c r="AL926" s="34"/>
      <c r="AM926" s="34"/>
      <c r="AN926" s="34"/>
      <c r="AO926" s="34"/>
      <c r="AP926" s="34"/>
      <c r="AQ926" s="34"/>
      <c r="AR926" s="34"/>
      <c r="AS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  <c r="CE926" s="34"/>
    </row>
    <row r="927"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  <c r="CE927" s="34"/>
    </row>
    <row r="928">
      <c r="AL928" s="34"/>
      <c r="AM928" s="34"/>
      <c r="AN928" s="34"/>
      <c r="AO928" s="34"/>
      <c r="AP928" s="34"/>
      <c r="AQ928" s="34"/>
      <c r="AR928" s="34"/>
      <c r="AS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  <c r="CE928" s="34"/>
    </row>
    <row r="929">
      <c r="AL929" s="34"/>
      <c r="AM929" s="34"/>
      <c r="AN929" s="34"/>
      <c r="AO929" s="34"/>
      <c r="AP929" s="34"/>
      <c r="AQ929" s="34"/>
      <c r="AR929" s="34"/>
      <c r="AS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  <c r="CE929" s="34"/>
    </row>
    <row r="930">
      <c r="AL930" s="34"/>
      <c r="AM930" s="34"/>
      <c r="AN930" s="34"/>
      <c r="AO930" s="34"/>
      <c r="AP930" s="34"/>
      <c r="AQ930" s="34"/>
      <c r="AR930" s="34"/>
      <c r="AS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  <c r="CE930" s="34"/>
    </row>
    <row r="931">
      <c r="AL931" s="34"/>
      <c r="AM931" s="34"/>
      <c r="AN931" s="34"/>
      <c r="AO931" s="34"/>
      <c r="AP931" s="34"/>
      <c r="AQ931" s="34"/>
      <c r="AR931" s="34"/>
      <c r="AS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  <c r="CE931" s="34"/>
    </row>
    <row r="932">
      <c r="AL932" s="34"/>
      <c r="AM932" s="34"/>
      <c r="AN932" s="34"/>
      <c r="AO932" s="34"/>
      <c r="AP932" s="34"/>
      <c r="AQ932" s="34"/>
      <c r="AR932" s="34"/>
      <c r="AS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  <c r="CE932" s="34"/>
    </row>
    <row r="933"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  <c r="CE933" s="34"/>
    </row>
    <row r="934"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  <c r="CE934" s="34"/>
    </row>
    <row r="935"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  <c r="CE935" s="34"/>
    </row>
    <row r="936"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  <c r="CE936" s="34"/>
    </row>
    <row r="937"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  <c r="CE937" s="34"/>
    </row>
    <row r="938"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  <c r="CE938" s="34"/>
    </row>
    <row r="939"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  <c r="CE939" s="34"/>
    </row>
    <row r="940"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  <c r="CE940" s="34"/>
    </row>
    <row r="941"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  <c r="CE941" s="34"/>
    </row>
    <row r="942">
      <c r="AL942" s="34"/>
      <c r="AM942" s="34"/>
      <c r="AN942" s="34"/>
      <c r="AO942" s="34"/>
      <c r="AP942" s="34"/>
      <c r="AQ942" s="34"/>
      <c r="AR942" s="34"/>
      <c r="AS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  <c r="CE942" s="34"/>
    </row>
    <row r="943">
      <c r="AL943" s="34"/>
      <c r="AM943" s="34"/>
      <c r="AN943" s="34"/>
      <c r="AO943" s="34"/>
      <c r="AP943" s="34"/>
      <c r="AQ943" s="34"/>
      <c r="AR943" s="34"/>
      <c r="AS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  <c r="CE943" s="34"/>
    </row>
    <row r="944">
      <c r="AL944" s="34"/>
      <c r="AM944" s="34"/>
      <c r="AN944" s="34"/>
      <c r="AO944" s="34"/>
      <c r="AP944" s="34"/>
      <c r="AQ944" s="34"/>
      <c r="AR944" s="34"/>
      <c r="AS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  <c r="CE944" s="34"/>
    </row>
    <row r="945">
      <c r="AL945" s="34"/>
      <c r="AM945" s="34"/>
      <c r="AN945" s="34"/>
      <c r="AO945" s="34"/>
      <c r="AP945" s="34"/>
      <c r="AQ945" s="34"/>
      <c r="AR945" s="34"/>
      <c r="AS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  <c r="CE945" s="34"/>
    </row>
    <row r="946"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  <c r="CE946" s="34"/>
    </row>
    <row r="947">
      <c r="AL947" s="34"/>
      <c r="AM947" s="34"/>
      <c r="AN947" s="34"/>
      <c r="AO947" s="34"/>
      <c r="AP947" s="34"/>
      <c r="AQ947" s="34"/>
      <c r="AR947" s="34"/>
      <c r="AS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  <c r="CE947" s="34"/>
    </row>
    <row r="948"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  <c r="CE948" s="34"/>
    </row>
    <row r="949">
      <c r="AL949" s="34"/>
      <c r="AM949" s="34"/>
      <c r="AN949" s="34"/>
      <c r="AO949" s="34"/>
      <c r="AP949" s="34"/>
      <c r="AQ949" s="34"/>
      <c r="AR949" s="34"/>
      <c r="AS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  <c r="CE949" s="34"/>
    </row>
    <row r="950"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  <c r="CE950" s="34"/>
    </row>
    <row r="951">
      <c r="AL951" s="34"/>
      <c r="AM951" s="34"/>
      <c r="AN951" s="34"/>
      <c r="AO951" s="34"/>
      <c r="AP951" s="34"/>
      <c r="AQ951" s="34"/>
      <c r="AR951" s="34"/>
      <c r="AS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  <c r="CE951" s="34"/>
    </row>
    <row r="952">
      <c r="AL952" s="34"/>
      <c r="AM952" s="34"/>
      <c r="AN952" s="34"/>
      <c r="AO952" s="34"/>
      <c r="AP952" s="34"/>
      <c r="AQ952" s="34"/>
      <c r="AR952" s="34"/>
      <c r="AS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  <c r="CE952" s="34"/>
    </row>
    <row r="953">
      <c r="AL953" s="34"/>
      <c r="AM953" s="34"/>
      <c r="AN953" s="34"/>
      <c r="AO953" s="34"/>
      <c r="AP953" s="34"/>
      <c r="AQ953" s="34"/>
      <c r="AR953" s="34"/>
      <c r="AS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  <c r="CE953" s="34"/>
    </row>
    <row r="954">
      <c r="AL954" s="34"/>
      <c r="AM954" s="34"/>
      <c r="AN954" s="34"/>
      <c r="AO954" s="34"/>
      <c r="AP954" s="34"/>
      <c r="AQ954" s="34"/>
      <c r="AR954" s="34"/>
      <c r="AS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  <c r="CE954" s="34"/>
    </row>
    <row r="955"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  <c r="CE955" s="34"/>
    </row>
    <row r="956">
      <c r="AL956" s="34"/>
      <c r="AM956" s="34"/>
      <c r="AN956" s="34"/>
      <c r="AO956" s="34"/>
      <c r="AP956" s="34"/>
      <c r="AQ956" s="34"/>
      <c r="AR956" s="34"/>
      <c r="AS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  <c r="CE956" s="34"/>
    </row>
    <row r="957">
      <c r="AL957" s="34"/>
      <c r="AM957" s="34"/>
      <c r="AN957" s="34"/>
      <c r="AO957" s="34"/>
      <c r="AP957" s="34"/>
      <c r="AQ957" s="34"/>
      <c r="AR957" s="34"/>
      <c r="AS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  <c r="CE957" s="34"/>
    </row>
    <row r="958">
      <c r="AL958" s="34"/>
      <c r="AM958" s="34"/>
      <c r="AN958" s="34"/>
      <c r="AO958" s="34"/>
      <c r="AP958" s="34"/>
      <c r="AQ958" s="34"/>
      <c r="AR958" s="34"/>
      <c r="AS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  <c r="CE958" s="34"/>
    </row>
    <row r="959">
      <c r="AL959" s="34"/>
      <c r="AM959" s="34"/>
      <c r="AN959" s="34"/>
      <c r="AO959" s="34"/>
      <c r="AP959" s="34"/>
      <c r="AQ959" s="34"/>
      <c r="AR959" s="34"/>
      <c r="AS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  <c r="CE959" s="34"/>
    </row>
    <row r="960">
      <c r="AL960" s="34"/>
      <c r="AM960" s="34"/>
      <c r="AN960" s="34"/>
      <c r="AO960" s="34"/>
      <c r="AP960" s="34"/>
      <c r="AQ960" s="34"/>
      <c r="AR960" s="34"/>
      <c r="AS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  <c r="CE960" s="34"/>
    </row>
    <row r="961">
      <c r="AL961" s="34"/>
      <c r="AM961" s="34"/>
      <c r="AN961" s="34"/>
      <c r="AO961" s="34"/>
      <c r="AP961" s="34"/>
      <c r="AQ961" s="34"/>
      <c r="AR961" s="34"/>
      <c r="AS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  <c r="CE961" s="34"/>
    </row>
    <row r="962"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  <c r="CE962" s="34"/>
    </row>
    <row r="963">
      <c r="AL963" s="34"/>
      <c r="AM963" s="34"/>
      <c r="AN963" s="34"/>
      <c r="AO963" s="34"/>
      <c r="AP963" s="34"/>
      <c r="AQ963" s="34"/>
      <c r="AR963" s="34"/>
      <c r="AS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  <c r="CE963" s="34"/>
    </row>
    <row r="964"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  <c r="CE964" s="34"/>
    </row>
    <row r="965">
      <c r="AL965" s="34"/>
      <c r="AM965" s="34"/>
      <c r="AN965" s="34"/>
      <c r="AO965" s="34"/>
      <c r="AP965" s="34"/>
      <c r="AQ965" s="34"/>
      <c r="AR965" s="34"/>
      <c r="AS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  <c r="CE965" s="34"/>
    </row>
    <row r="966">
      <c r="AL966" s="34"/>
      <c r="AM966" s="34"/>
      <c r="AN966" s="34"/>
      <c r="AO966" s="34"/>
      <c r="AP966" s="34"/>
      <c r="AQ966" s="34"/>
      <c r="AR966" s="34"/>
      <c r="AS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  <c r="CE966" s="34"/>
    </row>
    <row r="967">
      <c r="AL967" s="34"/>
      <c r="AM967" s="34"/>
      <c r="AN967" s="34"/>
      <c r="AO967" s="34"/>
      <c r="AP967" s="34"/>
      <c r="AQ967" s="34"/>
      <c r="AR967" s="34"/>
      <c r="AS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  <c r="CE967" s="34"/>
    </row>
    <row r="968"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  <c r="CE968" s="34"/>
    </row>
    <row r="969">
      <c r="AL969" s="34"/>
      <c r="AM969" s="34"/>
      <c r="AN969" s="34"/>
      <c r="AO969" s="34"/>
      <c r="AP969" s="34"/>
      <c r="AQ969" s="34"/>
      <c r="AR969" s="34"/>
      <c r="AS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  <c r="CE969" s="34"/>
    </row>
    <row r="970">
      <c r="AL970" s="34"/>
      <c r="AM970" s="34"/>
      <c r="AN970" s="34"/>
      <c r="AO970" s="34"/>
      <c r="AP970" s="34"/>
      <c r="AQ970" s="34"/>
      <c r="AR970" s="34"/>
      <c r="AS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  <c r="CE970" s="34"/>
    </row>
    <row r="971">
      <c r="AL971" s="34"/>
      <c r="AM971" s="34"/>
      <c r="AN971" s="34"/>
      <c r="AO971" s="34"/>
      <c r="AP971" s="34"/>
      <c r="AQ971" s="34"/>
      <c r="AR971" s="34"/>
      <c r="AS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  <c r="CE971" s="34"/>
    </row>
    <row r="972">
      <c r="AL972" s="34"/>
      <c r="AM972" s="34"/>
      <c r="AN972" s="34"/>
      <c r="AO972" s="34"/>
      <c r="AP972" s="34"/>
      <c r="AQ972" s="34"/>
      <c r="AR972" s="34"/>
      <c r="AS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  <c r="CE972" s="34"/>
    </row>
    <row r="973">
      <c r="AL973" s="34"/>
      <c r="AM973" s="34"/>
      <c r="AN973" s="34"/>
      <c r="AO973" s="34"/>
      <c r="AP973" s="34"/>
      <c r="AQ973" s="34"/>
      <c r="AR973" s="34"/>
      <c r="AS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  <c r="CE973" s="34"/>
    </row>
    <row r="974">
      <c r="AL974" s="34"/>
      <c r="AM974" s="34"/>
      <c r="AN974" s="34"/>
      <c r="AO974" s="34"/>
      <c r="AP974" s="34"/>
      <c r="AQ974" s="34"/>
      <c r="AR974" s="34"/>
      <c r="AS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  <c r="CE974" s="34"/>
    </row>
    <row r="975">
      <c r="AL975" s="34"/>
      <c r="AM975" s="34"/>
      <c r="AN975" s="34"/>
      <c r="AO975" s="34"/>
      <c r="AP975" s="34"/>
      <c r="AQ975" s="34"/>
      <c r="AR975" s="34"/>
      <c r="AS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  <c r="CE975" s="34"/>
    </row>
    <row r="976">
      <c r="AL976" s="34"/>
      <c r="AM976" s="34"/>
      <c r="AN976" s="34"/>
      <c r="AO976" s="34"/>
      <c r="AP976" s="34"/>
      <c r="AQ976" s="34"/>
      <c r="AR976" s="34"/>
      <c r="AS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  <c r="CE976" s="34"/>
    </row>
    <row r="977"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  <c r="CE977" s="34"/>
    </row>
    <row r="978">
      <c r="AL978" s="34"/>
      <c r="AM978" s="34"/>
      <c r="AN978" s="34"/>
      <c r="AO978" s="34"/>
      <c r="AP978" s="34"/>
      <c r="AQ978" s="34"/>
      <c r="AR978" s="34"/>
      <c r="AS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  <c r="CE978" s="34"/>
    </row>
    <row r="979"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  <c r="CE979" s="34"/>
    </row>
    <row r="980">
      <c r="AL980" s="34"/>
      <c r="AM980" s="34"/>
      <c r="AN980" s="34"/>
      <c r="AO980" s="34"/>
      <c r="AP980" s="34"/>
      <c r="AQ980" s="34"/>
      <c r="AR980" s="34"/>
      <c r="AS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  <c r="CE980" s="34"/>
    </row>
    <row r="981"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  <c r="CE981" s="34"/>
    </row>
    <row r="982"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  <c r="CE982" s="34"/>
    </row>
    <row r="983"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  <c r="CE983" s="34"/>
    </row>
    <row r="984"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  <c r="CE984" s="34"/>
    </row>
    <row r="985"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  <c r="CE985" s="34"/>
    </row>
    <row r="986"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  <c r="CE986" s="34"/>
    </row>
    <row r="987"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  <c r="CE987" s="34"/>
    </row>
    <row r="988"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  <c r="CE988" s="34"/>
    </row>
    <row r="989"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  <c r="CE989" s="34"/>
    </row>
    <row r="990"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  <c r="CE990" s="34"/>
    </row>
    <row r="991"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  <c r="CE991" s="34"/>
    </row>
    <row r="992">
      <c r="AL992" s="34"/>
      <c r="AM992" s="34"/>
      <c r="AN992" s="34"/>
      <c r="AO992" s="34"/>
      <c r="AP992" s="34"/>
      <c r="AQ992" s="34"/>
      <c r="AR992" s="34"/>
      <c r="AS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  <c r="CE992" s="34"/>
    </row>
    <row r="993"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  <c r="CE993" s="34"/>
    </row>
    <row r="994"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  <c r="CE994" s="34"/>
    </row>
    <row r="995"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  <c r="CE995" s="34"/>
    </row>
    <row r="996"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  <c r="CE996" s="34"/>
    </row>
    <row r="997"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  <c r="CE997" s="34"/>
    </row>
    <row r="998">
      <c r="AL998" s="34"/>
      <c r="AM998" s="34"/>
      <c r="AN998" s="34"/>
      <c r="AO998" s="34"/>
      <c r="AP998" s="34"/>
      <c r="AQ998" s="34"/>
      <c r="AR998" s="34"/>
      <c r="AS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  <c r="CE998" s="34"/>
    </row>
    <row r="999"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  <c r="CE999" s="34"/>
    </row>
    <row r="1000"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  <c r="CE1000" s="34"/>
    </row>
    <row r="1001">
      <c r="AL1001" s="34"/>
      <c r="AM1001" s="34"/>
      <c r="AN1001" s="34"/>
      <c r="AO1001" s="34"/>
      <c r="AP1001" s="34"/>
      <c r="AQ1001" s="34"/>
      <c r="AR1001" s="34"/>
      <c r="AS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  <c r="CE1001" s="34"/>
    </row>
    <row r="1002"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  <c r="CE1002" s="34"/>
    </row>
    <row r="1003">
      <c r="AL1003" s="34"/>
      <c r="AM1003" s="34"/>
      <c r="AN1003" s="34"/>
      <c r="AO1003" s="34"/>
      <c r="AP1003" s="34"/>
      <c r="AQ1003" s="34"/>
      <c r="AR1003" s="34"/>
      <c r="AS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  <c r="CE1003" s="34"/>
    </row>
    <row r="1004"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  <c r="CE1004" s="34"/>
    </row>
    <row r="1005"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  <c r="CE1005" s="34"/>
    </row>
    <row r="1006">
      <c r="AL1006" s="34"/>
      <c r="AM1006" s="34"/>
      <c r="AN1006" s="34"/>
      <c r="AO1006" s="34"/>
      <c r="AP1006" s="34"/>
      <c r="AQ1006" s="34"/>
      <c r="AR1006" s="34"/>
      <c r="AS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  <c r="BS1006" s="34"/>
      <c r="BT1006" s="34"/>
      <c r="BU1006" s="34"/>
      <c r="BV1006" s="34"/>
      <c r="BW1006" s="34"/>
      <c r="BX1006" s="34"/>
      <c r="BY1006" s="34"/>
      <c r="BZ1006" s="34"/>
      <c r="CA1006" s="34"/>
      <c r="CB1006" s="34"/>
      <c r="CC1006" s="34"/>
      <c r="CD1006" s="34"/>
      <c r="CE1006" s="3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40" t="s">
        <v>105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13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106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1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0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104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41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0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66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105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106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58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62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</row>
    <row r="2">
      <c r="A2" s="1" t="s">
        <v>109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110</v>
      </c>
      <c r="AZ2" s="1" t="s">
        <v>111</v>
      </c>
      <c r="BA2" s="1" t="s">
        <v>112</v>
      </c>
      <c r="BB2" s="1" t="s">
        <v>113</v>
      </c>
      <c r="BC2" s="1" t="s">
        <v>114</v>
      </c>
      <c r="BE2" s="1" t="s">
        <v>115</v>
      </c>
      <c r="BF2" s="1"/>
      <c r="BG2" s="1"/>
    </row>
    <row r="3">
      <c r="A3" s="1" t="s">
        <v>116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117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30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17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27">
        <v>3.0</v>
      </c>
      <c r="K6" s="27">
        <v>5.0</v>
      </c>
      <c r="L6" s="27">
        <v>6.0</v>
      </c>
      <c r="M6" s="27">
        <v>10.0</v>
      </c>
      <c r="N6" s="27">
        <v>9.0</v>
      </c>
      <c r="O6" s="27">
        <v>3.0</v>
      </c>
      <c r="P6" s="27">
        <v>18.0</v>
      </c>
      <c r="Q6" s="27">
        <v>7.0</v>
      </c>
      <c r="R6" s="27">
        <v>17.0</v>
      </c>
      <c r="S6" s="27">
        <v>7.0</v>
      </c>
      <c r="T6" s="27">
        <v>5.0</v>
      </c>
      <c r="U6" s="27">
        <v>5.0</v>
      </c>
      <c r="V6" s="27">
        <v>7.0</v>
      </c>
      <c r="W6" s="27">
        <v>3.0</v>
      </c>
      <c r="X6" s="27">
        <v>3.0</v>
      </c>
      <c r="Y6" s="27">
        <v>6.0</v>
      </c>
      <c r="Z6" s="27">
        <v>7.0</v>
      </c>
      <c r="AA6" s="27">
        <v>13.0</v>
      </c>
      <c r="AB6" s="27">
        <v>9.0</v>
      </c>
      <c r="AC6" s="27">
        <v>0.0</v>
      </c>
      <c r="AD6" s="27">
        <v>2.0</v>
      </c>
      <c r="AE6" s="27">
        <v>5.0</v>
      </c>
      <c r="AF6" s="27">
        <v>13.0</v>
      </c>
      <c r="AG6" s="27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20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34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36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118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23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119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40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120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121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122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123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124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125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126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127</v>
      </c>
      <c r="B21" s="22">
        <v>1.0</v>
      </c>
      <c r="C21" s="22">
        <v>5.0</v>
      </c>
      <c r="D21" s="22">
        <v>6.0</v>
      </c>
      <c r="E21" s="22">
        <v>0.0</v>
      </c>
      <c r="F21" s="22">
        <v>0.0</v>
      </c>
      <c r="G21" s="22">
        <v>0.0</v>
      </c>
      <c r="H21" s="36">
        <v>5.0</v>
      </c>
      <c r="I21" s="22">
        <v>0.0</v>
      </c>
      <c r="J21" s="36">
        <v>2.0</v>
      </c>
      <c r="K21" s="36">
        <v>6.0</v>
      </c>
      <c r="L21" s="22">
        <v>0.0</v>
      </c>
      <c r="M21" s="36">
        <v>10.0</v>
      </c>
      <c r="N21" s="27">
        <v>18.0</v>
      </c>
      <c r="O21" s="27">
        <v>4.0</v>
      </c>
      <c r="P21" s="27">
        <v>12.0</v>
      </c>
      <c r="Q21" s="27">
        <v>15.0</v>
      </c>
      <c r="R21" s="27">
        <v>2.0</v>
      </c>
      <c r="S21" s="27">
        <v>5.0</v>
      </c>
      <c r="T21" s="27">
        <v>4.0</v>
      </c>
      <c r="U21" s="27">
        <v>13.0</v>
      </c>
      <c r="V21" s="27">
        <v>6.0</v>
      </c>
      <c r="W21" s="27">
        <v>2.0</v>
      </c>
      <c r="X21" s="27">
        <v>3.0</v>
      </c>
      <c r="Y21" s="27">
        <v>9.0</v>
      </c>
      <c r="Z21" s="27">
        <v>2.0</v>
      </c>
      <c r="AA21" s="27">
        <v>1.0</v>
      </c>
      <c r="AB21" s="27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2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128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8"/>
      <c r="E23" s="7"/>
      <c r="F23" s="7"/>
      <c r="I23" s="7"/>
      <c r="L23" s="28"/>
      <c r="M23" s="27"/>
      <c r="P23" s="7"/>
      <c r="Q23" s="27"/>
      <c r="R23" s="21"/>
      <c r="S23" s="28"/>
      <c r="Y23" s="27"/>
      <c r="Z23" s="44"/>
      <c r="AA23" s="28"/>
      <c r="AW23" s="40" t="s">
        <v>129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8"/>
      <c r="E24" s="7"/>
      <c r="F24" s="7"/>
      <c r="I24" s="7"/>
      <c r="L24" s="28"/>
      <c r="M24" s="27"/>
      <c r="P24" s="7"/>
      <c r="Q24" s="27"/>
      <c r="R24" s="21"/>
      <c r="S24" s="28"/>
      <c r="Y24" s="27"/>
      <c r="Z24" s="44"/>
      <c r="AA24" s="28"/>
    </row>
    <row r="25">
      <c r="B25" s="28"/>
      <c r="E25" s="7"/>
      <c r="F25" s="7"/>
      <c r="G25" s="28"/>
      <c r="H25" s="27"/>
      <c r="I25" s="7"/>
      <c r="L25" s="28"/>
      <c r="M25" s="27"/>
      <c r="P25" s="7"/>
      <c r="Q25" s="27"/>
      <c r="R25" s="21"/>
      <c r="S25" s="28"/>
      <c r="Y25" s="27"/>
      <c r="Z25" s="44"/>
      <c r="AA25" s="28"/>
      <c r="AB25" s="27"/>
      <c r="AC25" s="21"/>
      <c r="AD25" s="28"/>
      <c r="AE25" s="27"/>
      <c r="AF25" s="44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</row>
    <row r="26">
      <c r="B26" s="22"/>
      <c r="D26" s="7"/>
      <c r="E26" s="7"/>
      <c r="F26" s="7"/>
      <c r="G26" s="28"/>
      <c r="H26" s="27"/>
      <c r="I26" s="7"/>
      <c r="L26" s="28"/>
      <c r="M26" s="27"/>
      <c r="N26" s="28"/>
      <c r="O26" s="27"/>
      <c r="P26" s="7"/>
      <c r="Q26" s="27"/>
      <c r="R26" s="21"/>
      <c r="S26" s="28"/>
      <c r="AB26" s="44"/>
      <c r="AC26" s="28"/>
      <c r="AD26" s="45"/>
      <c r="AE26" s="27"/>
      <c r="AF26" s="44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</row>
    <row r="27">
      <c r="B27" s="22"/>
      <c r="E27" s="7"/>
      <c r="F27" s="7"/>
      <c r="G27" s="28"/>
      <c r="H27" s="27"/>
      <c r="I27" s="7"/>
      <c r="L27" s="28"/>
      <c r="M27" s="27"/>
      <c r="N27" s="28"/>
      <c r="O27" s="27"/>
      <c r="P27" s="7"/>
      <c r="Q27" s="27"/>
      <c r="R27" s="44"/>
      <c r="S27" s="28"/>
      <c r="X27" s="7"/>
      <c r="AA27" s="7"/>
      <c r="AB27" s="44"/>
      <c r="AC27" s="21"/>
      <c r="AD27" s="21"/>
    </row>
    <row r="28">
      <c r="B28" s="28"/>
      <c r="E28" s="7"/>
      <c r="F28" s="7"/>
      <c r="G28" s="28"/>
      <c r="H28" s="27"/>
      <c r="L28" s="28"/>
      <c r="M28" s="27"/>
      <c r="N28" s="28"/>
      <c r="O28" s="27"/>
      <c r="P28" s="7"/>
      <c r="Q28" s="27"/>
      <c r="R28" s="44"/>
      <c r="S28" s="28"/>
      <c r="X28" s="7"/>
      <c r="AA28" s="7"/>
      <c r="AB28" s="27"/>
      <c r="AC28" s="21"/>
      <c r="AD28" s="21"/>
    </row>
    <row r="29">
      <c r="B29" s="7"/>
      <c r="C29" s="22"/>
      <c r="E29" s="7"/>
      <c r="F29" s="7"/>
      <c r="G29" s="28"/>
      <c r="H29" s="27"/>
      <c r="L29" s="28"/>
      <c r="M29" s="27"/>
      <c r="N29" s="28"/>
      <c r="O29" s="27"/>
      <c r="P29" s="7"/>
      <c r="Q29" s="27"/>
      <c r="R29" s="44"/>
      <c r="S29" s="28"/>
      <c r="X29" s="7"/>
      <c r="AA29" s="7"/>
      <c r="AC29" s="28"/>
      <c r="AD29" s="27"/>
    </row>
    <row r="30">
      <c r="B30" s="7"/>
      <c r="C30" s="22"/>
      <c r="E30" s="7"/>
      <c r="F30" s="7"/>
      <c r="G30" s="28"/>
      <c r="H30" s="27"/>
      <c r="N30" s="28"/>
      <c r="O30" s="27"/>
      <c r="P30" s="7"/>
      <c r="X30" s="7"/>
      <c r="AA30" s="7"/>
      <c r="AC30" s="28"/>
      <c r="AD30" s="27"/>
    </row>
    <row r="31">
      <c r="B31" s="7"/>
      <c r="C31" s="22"/>
      <c r="E31" s="7"/>
      <c r="F31" s="7"/>
      <c r="G31" s="28"/>
      <c r="H31" s="27"/>
      <c r="N31" s="28"/>
      <c r="O31" s="27"/>
      <c r="P31" s="7"/>
      <c r="X31" s="7"/>
      <c r="AA31" s="7"/>
      <c r="AC31" s="21"/>
      <c r="AD31" s="44"/>
    </row>
    <row r="32">
      <c r="B32" s="7"/>
      <c r="C32" s="22"/>
      <c r="E32" s="7"/>
      <c r="F32" s="7"/>
      <c r="G32" s="28"/>
      <c r="H32" s="27"/>
      <c r="N32" s="28"/>
      <c r="O32" s="27"/>
      <c r="P32" s="7"/>
      <c r="X32" s="7"/>
      <c r="AA32" s="7"/>
      <c r="AC32" s="28"/>
      <c r="AD32" s="27"/>
    </row>
    <row r="33">
      <c r="B33" s="7"/>
      <c r="C33" s="22"/>
      <c r="E33" s="7"/>
      <c r="F33" s="7"/>
      <c r="G33" s="28"/>
      <c r="H33" s="27"/>
      <c r="N33" s="28"/>
      <c r="O33" s="27"/>
      <c r="X33" s="7"/>
      <c r="AA33" s="7"/>
      <c r="AC33" s="28"/>
      <c r="AD33" s="27"/>
    </row>
    <row r="34">
      <c r="E34" s="7"/>
      <c r="F34" s="7"/>
      <c r="G34" s="28"/>
      <c r="H34" s="27"/>
      <c r="N34" s="28"/>
      <c r="O34" s="27"/>
      <c r="X34" s="7"/>
      <c r="AA34" s="7"/>
      <c r="AC34" s="28"/>
      <c r="AD34" s="27"/>
    </row>
    <row r="35">
      <c r="B35" s="7"/>
      <c r="C35" s="22"/>
      <c r="E35" s="7"/>
      <c r="F35" s="7"/>
      <c r="G35" s="28"/>
      <c r="H35" s="27"/>
      <c r="N35" s="28"/>
      <c r="O35" s="27"/>
      <c r="X35" s="7"/>
      <c r="AA35" s="7"/>
      <c r="AC35" s="28"/>
      <c r="AD35" s="27"/>
    </row>
    <row r="36">
      <c r="B36" s="7"/>
      <c r="C36" s="22"/>
      <c r="E36" s="7"/>
      <c r="F36" s="7"/>
      <c r="G36" s="28"/>
      <c r="H36" s="27"/>
      <c r="N36" s="28"/>
      <c r="O36" s="27"/>
      <c r="X36" s="7"/>
      <c r="AA36" s="7"/>
      <c r="AC36" s="28"/>
      <c r="AD36" s="27"/>
    </row>
    <row r="37">
      <c r="B37" s="7"/>
      <c r="C37" s="22"/>
      <c r="E37" s="7"/>
      <c r="F37" s="7"/>
      <c r="G37" s="28"/>
      <c r="H37" s="27"/>
      <c r="N37" s="28"/>
      <c r="O37" s="27"/>
      <c r="X37" s="7"/>
      <c r="AA37" s="7"/>
    </row>
    <row r="38">
      <c r="B38" s="7"/>
      <c r="C38" s="22"/>
      <c r="E38" s="7"/>
      <c r="F38" s="7"/>
      <c r="G38" s="28"/>
      <c r="H38" s="27"/>
      <c r="N38" s="28"/>
      <c r="O38" s="27"/>
      <c r="X38" s="7"/>
      <c r="AA38" s="7"/>
    </row>
    <row r="39">
      <c r="B39" s="7"/>
      <c r="C39" s="22"/>
      <c r="E39" s="7"/>
      <c r="F39" s="7"/>
      <c r="G39" s="28"/>
      <c r="H39" s="27"/>
      <c r="N39" s="28"/>
      <c r="O39" s="27"/>
      <c r="X39" s="7"/>
      <c r="AA39" s="7"/>
    </row>
    <row r="40">
      <c r="B40" s="7"/>
      <c r="C40" s="22"/>
      <c r="E40" s="7"/>
      <c r="F40" s="7"/>
      <c r="G40" s="28"/>
      <c r="H40" s="27"/>
      <c r="X40" s="7"/>
      <c r="AA40" s="7"/>
    </row>
    <row r="41">
      <c r="B41" s="7"/>
      <c r="C41" s="22"/>
      <c r="E41" s="7"/>
      <c r="G41" s="28"/>
      <c r="H41" s="27"/>
      <c r="X41" s="7"/>
      <c r="AA41" s="7"/>
    </row>
    <row r="42">
      <c r="B42" s="7"/>
      <c r="E42" s="7"/>
      <c r="G42" s="28"/>
      <c r="H42" s="27"/>
      <c r="X42" s="7"/>
      <c r="AA42" s="7"/>
    </row>
    <row r="43">
      <c r="B43" s="7"/>
      <c r="E43" s="7"/>
      <c r="G43" s="28"/>
      <c r="H43" s="27"/>
      <c r="X43" s="7"/>
      <c r="AA43" s="7"/>
    </row>
    <row r="44">
      <c r="B44" s="7"/>
      <c r="E44" s="7"/>
      <c r="G44" s="28"/>
      <c r="H44" s="27"/>
      <c r="X44" s="7"/>
      <c r="AA44" s="7"/>
    </row>
    <row r="45">
      <c r="B45" s="7"/>
      <c r="E45" s="7"/>
      <c r="G45" s="28"/>
      <c r="H45" s="27"/>
      <c r="X45" s="7"/>
      <c r="AA45" s="7"/>
    </row>
    <row r="46">
      <c r="B46" s="7"/>
      <c r="E46" s="7"/>
      <c r="G46" s="28"/>
      <c r="H46" s="27"/>
      <c r="X46" s="7"/>
      <c r="AA46" s="7"/>
    </row>
    <row r="47">
      <c r="B47" s="7"/>
      <c r="E47" s="7"/>
      <c r="X47" s="7"/>
      <c r="AA47" s="7"/>
    </row>
    <row r="48">
      <c r="B48" s="7"/>
      <c r="E48" s="7"/>
      <c r="X48" s="7"/>
      <c r="AA48" s="7"/>
    </row>
    <row r="49">
      <c r="B49" s="7"/>
      <c r="E49" s="7"/>
    </row>
    <row r="50">
      <c r="B50" s="7"/>
      <c r="E50" s="7"/>
    </row>
    <row r="51">
      <c r="B51" s="7"/>
      <c r="E51" s="7"/>
    </row>
    <row r="52">
      <c r="B52" s="7"/>
      <c r="E52" s="7"/>
    </row>
    <row r="53">
      <c r="B53" s="7"/>
      <c r="E53" s="7"/>
    </row>
    <row r="54">
      <c r="B54" s="7"/>
      <c r="E54" s="7"/>
    </row>
    <row r="55">
      <c r="B55" s="7"/>
      <c r="E55" s="7"/>
    </row>
  </sheetData>
  <drawing r:id="rId1"/>
</worksheet>
</file>